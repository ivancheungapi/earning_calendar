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pworkspace-my.sharepoint.com/personal/ivan_cheung_arrowpointfund_com/Documents/Documents/arrowpoint/winter/calendar/"/>
    </mc:Choice>
  </mc:AlternateContent>
  <xr:revisionPtr revIDLastSave="21" documentId="13_ncr:1_{69135DD7-9D86-43BF-AC89-D638C2B16CF7}" xr6:coauthVersionLast="47" xr6:coauthVersionMax="47" xr10:uidLastSave="{E7C7241D-66D5-4C6E-B744-0F9B0BCBC66C}"/>
  <bookViews>
    <workbookView xWindow="-120" yWindow="-120" windowWidth="38640" windowHeight="21120" activeTab="1" xr2:uid="{00000000-000D-0000-FFFF-FFFF00000000}"/>
  </bookViews>
  <sheets>
    <sheet name="月次公表日" sheetId="1" r:id="rId1"/>
    <sheet name="Sheet1" sheetId="2" r:id="rId2"/>
  </sheets>
  <externalReferences>
    <externalReference r:id="rId3"/>
  </externalReferences>
  <definedNames>
    <definedName name="上場会社マスタ">#REF!</definedName>
  </definedNames>
  <calcPr calcId="191029" iterate="1" iterateCount="1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2" l="1"/>
  <c r="A20" i="2"/>
  <c r="A26" i="2"/>
  <c r="A31" i="2"/>
  <c r="A52" i="2"/>
  <c r="A42" i="2"/>
  <c r="A11" i="2"/>
  <c r="A63" i="2"/>
  <c r="A21" i="2"/>
  <c r="A44" i="2"/>
  <c r="A56" i="2"/>
  <c r="A18" i="2"/>
  <c r="A62" i="2"/>
  <c r="A19" i="2"/>
  <c r="A36" i="2"/>
  <c r="A8" i="2"/>
  <c r="A47" i="2"/>
  <c r="A38" i="2"/>
  <c r="A23" i="2"/>
  <c r="A57" i="2"/>
  <c r="A9" i="2"/>
  <c r="A24" i="2"/>
  <c r="A55" i="2"/>
  <c r="A34" i="2"/>
  <c r="A22" i="2"/>
  <c r="A6" i="2"/>
  <c r="A60" i="2"/>
  <c r="A35" i="2"/>
  <c r="A59" i="2"/>
  <c r="A32" i="2"/>
  <c r="A53" i="2"/>
  <c r="A5" i="2"/>
  <c r="A48" i="2"/>
  <c r="A17" i="2"/>
  <c r="A15" i="2"/>
  <c r="A28" i="2"/>
  <c r="A27" i="2"/>
  <c r="A65" i="2"/>
  <c r="A4" i="2"/>
  <c r="A46" i="2"/>
  <c r="A49" i="2"/>
  <c r="A33" i="2"/>
  <c r="A29" i="2"/>
  <c r="A51" i="2"/>
  <c r="A10" i="2"/>
  <c r="A45" i="2"/>
  <c r="A64" i="2"/>
  <c r="A7" i="2"/>
  <c r="A25" i="2"/>
  <c r="A41" i="2"/>
  <c r="A12" i="2"/>
  <c r="A50" i="2"/>
  <c r="A58" i="2"/>
  <c r="A30" i="2"/>
  <c r="A13" i="2"/>
  <c r="A39" i="2"/>
  <c r="A3" i="2"/>
  <c r="A16" i="2"/>
  <c r="A40" i="2" l="1"/>
  <c r="A43" i="2"/>
  <c r="A54" i="2"/>
  <c r="A14" i="2"/>
  <c r="A61" i="2"/>
  <c r="A2" i="2" l="1"/>
</calcChain>
</file>

<file path=xl/sharedStrings.xml><?xml version="1.0" encoding="utf-8"?>
<sst xmlns="http://schemas.openxmlformats.org/spreadsheetml/2006/main" count="270" uniqueCount="144">
  <si>
    <t>PPIH</t>
    <phoneticPr fontId="5"/>
  </si>
  <si>
    <t>HC</t>
    <phoneticPr fontId="4"/>
  </si>
  <si>
    <t>HC</t>
    <phoneticPr fontId="5"/>
  </si>
  <si>
    <t>HC</t>
    <phoneticPr fontId="4"/>
  </si>
  <si>
    <t>MonotaRO</t>
    <phoneticPr fontId="6"/>
  </si>
  <si>
    <t>HP</t>
  </si>
  <si>
    <t>HP</t>
    <phoneticPr fontId="4"/>
  </si>
  <si>
    <t>HP</t>
    <phoneticPr fontId="5"/>
  </si>
  <si>
    <t>HP</t>
    <phoneticPr fontId="5"/>
  </si>
  <si>
    <t>HP</t>
    <phoneticPr fontId="5"/>
  </si>
  <si>
    <t>HP</t>
    <phoneticPr fontId="5"/>
  </si>
  <si>
    <t>適時開示</t>
  </si>
  <si>
    <t>適時開示（メールでも配信）</t>
    <rPh sb="10" eb="12">
      <t>ハイシン</t>
    </rPh>
    <phoneticPr fontId="4"/>
  </si>
  <si>
    <t>適時開示　</t>
  </si>
  <si>
    <t>HP（メールでも配信）</t>
    <rPh sb="8" eb="10">
      <t>ハイシン</t>
    </rPh>
    <phoneticPr fontId="3"/>
  </si>
  <si>
    <t>銘柄コード</t>
    <rPh sb="0" eb="2">
      <t>メイガラ</t>
    </rPh>
    <phoneticPr fontId="2"/>
  </si>
  <si>
    <t>企業名</t>
    <rPh sb="0" eb="2">
      <t>キギョウ</t>
    </rPh>
    <rPh sb="2" eb="3">
      <t>メイ</t>
    </rPh>
    <phoneticPr fontId="2"/>
  </si>
  <si>
    <t>カテゴリー</t>
    <phoneticPr fontId="2"/>
  </si>
  <si>
    <t>日付</t>
    <rPh sb="0" eb="2">
      <t>ヒヅケ</t>
    </rPh>
    <phoneticPr fontId="2"/>
  </si>
  <si>
    <t>公表方法</t>
    <rPh sb="0" eb="2">
      <t>コウヒョウ</t>
    </rPh>
    <rPh sb="2" eb="4">
      <t>ホウホウ</t>
    </rPh>
    <phoneticPr fontId="2"/>
  </si>
  <si>
    <t>その他</t>
    <rPh sb="2" eb="3">
      <t>タ</t>
    </rPh>
    <phoneticPr fontId="5"/>
  </si>
  <si>
    <t>10日頃</t>
    <phoneticPr fontId="5"/>
  </si>
  <si>
    <t>アダストリア</t>
    <phoneticPr fontId="5"/>
  </si>
  <si>
    <t>衣料品</t>
    <rPh sb="0" eb="3">
      <t>イリョウヒン</t>
    </rPh>
    <phoneticPr fontId="5"/>
  </si>
  <si>
    <t>第2営業日</t>
    <rPh sb="0" eb="1">
      <t>ダイ</t>
    </rPh>
    <rPh sb="2" eb="5">
      <t>エイギョウビ</t>
    </rPh>
    <phoneticPr fontId="5"/>
  </si>
  <si>
    <t>パルグループホールディングス</t>
    <phoneticPr fontId="6"/>
  </si>
  <si>
    <t>ハニーズ</t>
  </si>
  <si>
    <t>バロックジャパンリミテッド</t>
    <phoneticPr fontId="6"/>
  </si>
  <si>
    <t>HP(メールで通知あり)</t>
    <rPh sb="7" eb="9">
      <t>ツウチ</t>
    </rPh>
    <phoneticPr fontId="2"/>
  </si>
  <si>
    <t>ライトオン</t>
  </si>
  <si>
    <t>西松屋チェーン</t>
  </si>
  <si>
    <t>ユナイテッドアローズ</t>
    <phoneticPr fontId="5"/>
  </si>
  <si>
    <t>AOKIホールディングス</t>
    <phoneticPr fontId="4"/>
  </si>
  <si>
    <t>10日頃</t>
    <phoneticPr fontId="5"/>
  </si>
  <si>
    <t>青山商事</t>
    <rPh sb="0" eb="2">
      <t>アオヤマ</t>
    </rPh>
    <rPh sb="2" eb="4">
      <t>ショウジ</t>
    </rPh>
    <phoneticPr fontId="5"/>
  </si>
  <si>
    <t>しまむら</t>
  </si>
  <si>
    <t>23日以降</t>
    <rPh sb="2" eb="3">
      <t>ニチ</t>
    </rPh>
    <rPh sb="3" eb="5">
      <t>イコウ</t>
    </rPh>
    <phoneticPr fontId="5"/>
  </si>
  <si>
    <t>ファーストリテイリング</t>
  </si>
  <si>
    <t>アパレル</t>
  </si>
  <si>
    <t>メールで配信</t>
    <rPh sb="4" eb="6">
      <t>ハイシン</t>
    </rPh>
    <phoneticPr fontId="5"/>
  </si>
  <si>
    <t>TSIホールディングス</t>
    <phoneticPr fontId="5"/>
  </si>
  <si>
    <t>アパレル</t>
    <phoneticPr fontId="5"/>
  </si>
  <si>
    <t>10日頃</t>
    <phoneticPr fontId="5"/>
  </si>
  <si>
    <t>ワールド</t>
    <phoneticPr fontId="5"/>
  </si>
  <si>
    <t>5日頃</t>
    <phoneticPr fontId="5"/>
  </si>
  <si>
    <t>三陽商会</t>
    <rPh sb="0" eb="2">
      <t>サンヨウ</t>
    </rPh>
    <rPh sb="2" eb="4">
      <t>ショウカイ</t>
    </rPh>
    <phoneticPr fontId="5"/>
  </si>
  <si>
    <t>オンワードホールディングス</t>
  </si>
  <si>
    <t>5日頃</t>
  </si>
  <si>
    <t>メールで配信</t>
    <rPh sb="4" eb="6">
      <t>ハイシン</t>
    </rPh>
    <phoneticPr fontId="3"/>
  </si>
  <si>
    <t>エディオン</t>
  </si>
  <si>
    <t>家電</t>
    <rPh sb="0" eb="2">
      <t>カデン</t>
    </rPh>
    <phoneticPr fontId="5"/>
  </si>
  <si>
    <t>10日頃</t>
    <rPh sb="2" eb="3">
      <t>ニチ</t>
    </rPh>
    <rPh sb="3" eb="4">
      <t>コロ</t>
    </rPh>
    <phoneticPr fontId="5"/>
  </si>
  <si>
    <t>ビックカメラ</t>
  </si>
  <si>
    <t>コジマ</t>
  </si>
  <si>
    <t>ケーズホールディングス</t>
  </si>
  <si>
    <t>家具</t>
    <rPh sb="0" eb="2">
      <t>カグ</t>
    </rPh>
    <phoneticPr fontId="5"/>
  </si>
  <si>
    <t>ナフコ</t>
  </si>
  <si>
    <t>DCMホールディングス</t>
    <phoneticPr fontId="5"/>
  </si>
  <si>
    <t>ジョイフル本田</t>
    <rPh sb="5" eb="7">
      <t>ホンダ</t>
    </rPh>
    <phoneticPr fontId="5"/>
  </si>
  <si>
    <t>コーナン商事</t>
  </si>
  <si>
    <t>HP　</t>
    <phoneticPr fontId="4"/>
  </si>
  <si>
    <t>ハンズマン</t>
  </si>
  <si>
    <t>ケーヨー</t>
  </si>
  <si>
    <t>コメリ</t>
  </si>
  <si>
    <t>月初</t>
    <rPh sb="0" eb="2">
      <t>ゲッショ</t>
    </rPh>
    <phoneticPr fontId="5"/>
  </si>
  <si>
    <t>オートバックスセブン</t>
  </si>
  <si>
    <t>カー用品</t>
    <rPh sb="2" eb="4">
      <t>ヨウヒン</t>
    </rPh>
    <phoneticPr fontId="5"/>
  </si>
  <si>
    <t>7日頃</t>
    <phoneticPr fontId="5"/>
  </si>
  <si>
    <t>カワチ薬品</t>
  </si>
  <si>
    <t>ドラッグストア</t>
  </si>
  <si>
    <t>15日頃</t>
    <rPh sb="2" eb="3">
      <t>ニチ</t>
    </rPh>
    <rPh sb="3" eb="4">
      <t>コロ</t>
    </rPh>
    <phoneticPr fontId="5"/>
  </si>
  <si>
    <t>15日以降</t>
    <rPh sb="2" eb="3">
      <t>ニチ</t>
    </rPh>
    <rPh sb="3" eb="5">
      <t>イコウ</t>
    </rPh>
    <phoneticPr fontId="5"/>
  </si>
  <si>
    <t>5日頃</t>
    <phoneticPr fontId="5"/>
  </si>
  <si>
    <t>ウエルシアホールディングス</t>
    <phoneticPr fontId="5"/>
  </si>
  <si>
    <t>クリエイトSDホールディングス</t>
    <phoneticPr fontId="4"/>
  </si>
  <si>
    <t>15日頃</t>
    <phoneticPr fontId="5"/>
  </si>
  <si>
    <t>コスモス薬品</t>
  </si>
  <si>
    <t>5~10日</t>
    <phoneticPr fontId="5"/>
  </si>
  <si>
    <t>ツルハホールディングス</t>
  </si>
  <si>
    <t>月末</t>
    <rPh sb="0" eb="2">
      <t>ゲツマツ</t>
    </rPh>
    <phoneticPr fontId="2"/>
  </si>
  <si>
    <t>スギホールディングス</t>
  </si>
  <si>
    <t>Ｇｅｎｋｙ　ＤｒｕｇＳｔｏｒｅｓ</t>
    <phoneticPr fontId="6"/>
  </si>
  <si>
    <t>アインホールディングス</t>
    <phoneticPr fontId="6"/>
  </si>
  <si>
    <t xml:space="preserve">HP（メールでも配信） </t>
    <rPh sb="8" eb="10">
      <t>ハイシン</t>
    </rPh>
    <phoneticPr fontId="5"/>
  </si>
  <si>
    <t>サンドラッグ</t>
  </si>
  <si>
    <t>眼鏡、宝飾</t>
    <rPh sb="0" eb="2">
      <t>メガネ</t>
    </rPh>
    <rPh sb="3" eb="5">
      <t>ホウショク</t>
    </rPh>
    <phoneticPr fontId="4"/>
  </si>
  <si>
    <t>5日頃</t>
    <phoneticPr fontId="5"/>
  </si>
  <si>
    <t>ヨンドシーホールディングス</t>
    <phoneticPr fontId="5"/>
  </si>
  <si>
    <t>第5営業日</t>
    <rPh sb="0" eb="1">
      <t>ダイ</t>
    </rPh>
    <rPh sb="2" eb="5">
      <t>エイギョウビ</t>
    </rPh>
    <phoneticPr fontId="5"/>
  </si>
  <si>
    <t>アルペン</t>
  </si>
  <si>
    <t>スポーツ</t>
  </si>
  <si>
    <t>ヒマラヤ</t>
  </si>
  <si>
    <t>ゼビオ</t>
  </si>
  <si>
    <t>エービーシー・マート</t>
  </si>
  <si>
    <t>靴</t>
    <rPh sb="0" eb="1">
      <t>クツ</t>
    </rPh>
    <phoneticPr fontId="5"/>
  </si>
  <si>
    <t>ジーフット</t>
    <phoneticPr fontId="5"/>
  </si>
  <si>
    <t>10日頃</t>
    <phoneticPr fontId="5"/>
  </si>
  <si>
    <t>チヨダ</t>
  </si>
  <si>
    <t>アスクル</t>
  </si>
  <si>
    <t>セリア</t>
  </si>
  <si>
    <t>5日頃</t>
    <phoneticPr fontId="5"/>
  </si>
  <si>
    <t>10日頃</t>
    <phoneticPr fontId="5"/>
  </si>
  <si>
    <t>あさひ</t>
    <phoneticPr fontId="5"/>
  </si>
  <si>
    <t>良品計画</t>
    <rPh sb="0" eb="2">
      <t>リョウヒン</t>
    </rPh>
    <rPh sb="2" eb="4">
      <t>ケイカク</t>
    </rPh>
    <phoneticPr fontId="5"/>
  </si>
  <si>
    <t>ワークマン</t>
    <phoneticPr fontId="5"/>
  </si>
  <si>
    <t>第２営業日</t>
    <rPh sb="0" eb="1">
      <t>ダイ</t>
    </rPh>
    <rPh sb="2" eb="5">
      <t>エイギョウビ</t>
    </rPh>
    <phoneticPr fontId="5"/>
  </si>
  <si>
    <t>ベルーナ</t>
  </si>
  <si>
    <t>15日頃</t>
    <phoneticPr fontId="5"/>
  </si>
  <si>
    <t>適時開示</t>
    <phoneticPr fontId="2"/>
  </si>
  <si>
    <t>金曜日は本社定休日</t>
    <rPh sb="4" eb="6">
      <t>ホンシャ</t>
    </rPh>
    <phoneticPr fontId="2"/>
  </si>
  <si>
    <t>第2営業日以降</t>
    <rPh sb="0" eb="1">
      <t>ダイ</t>
    </rPh>
    <rPh sb="2" eb="5">
      <t>エイギョウビ</t>
    </rPh>
    <rPh sb="5" eb="7">
      <t>イコウ</t>
    </rPh>
    <phoneticPr fontId="5"/>
  </si>
  <si>
    <t>海外は10日頃</t>
    <rPh sb="0" eb="2">
      <t>カイガイ</t>
    </rPh>
    <rPh sb="5" eb="6">
      <t>ニチ</t>
    </rPh>
    <rPh sb="6" eb="7">
      <t>コロ</t>
    </rPh>
    <phoneticPr fontId="2"/>
  </si>
  <si>
    <t>TOKYOBASE</t>
    <phoneticPr fontId="2"/>
  </si>
  <si>
    <t>マツキヨココカラ＆カンパニー</t>
    <phoneticPr fontId="2"/>
  </si>
  <si>
    <t>5日頃</t>
    <rPh sb="1" eb="2">
      <t>ニチ</t>
    </rPh>
    <rPh sb="2" eb="3">
      <t>ゴロ</t>
    </rPh>
    <phoneticPr fontId="2"/>
  </si>
  <si>
    <t>不定期</t>
    <rPh sb="0" eb="3">
      <t>フテイキ</t>
    </rPh>
    <phoneticPr fontId="2"/>
  </si>
  <si>
    <t>薬王堂HD</t>
    <rPh sb="0" eb="1">
      <t>ヤク</t>
    </rPh>
    <rPh sb="1" eb="2">
      <t>オウ</t>
    </rPh>
    <rPh sb="2" eb="3">
      <t>ドウ</t>
    </rPh>
    <phoneticPr fontId="5"/>
  </si>
  <si>
    <t>クスリのアオキホールディングス</t>
    <phoneticPr fontId="6"/>
  </si>
  <si>
    <t>ワコールホールディングス</t>
    <phoneticPr fontId="2"/>
  </si>
  <si>
    <t>ニトリホールディングス</t>
    <phoneticPr fontId="5"/>
  </si>
  <si>
    <t>アレンザホールディングス</t>
    <phoneticPr fontId="6"/>
  </si>
  <si>
    <t>クオールホールディングス</t>
    <phoneticPr fontId="4"/>
  </si>
  <si>
    <t>サックスバーホールディングス</t>
    <phoneticPr fontId="5"/>
  </si>
  <si>
    <t>21~24日</t>
    <rPh sb="5" eb="6">
      <t>ニチ</t>
    </rPh>
    <phoneticPr fontId="5"/>
  </si>
  <si>
    <t>3日頃</t>
    <phoneticPr fontId="5"/>
  </si>
  <si>
    <t>決算月は決算時公表</t>
    <phoneticPr fontId="2"/>
  </si>
  <si>
    <t>決算月は決算時公表</t>
    <rPh sb="0" eb="2">
      <t>ケッサン</t>
    </rPh>
    <rPh sb="2" eb="3">
      <t>ツキ</t>
    </rPh>
    <rPh sb="4" eb="6">
      <t>ケッサン</t>
    </rPh>
    <rPh sb="6" eb="7">
      <t>ジ</t>
    </rPh>
    <rPh sb="7" eb="9">
      <t>コウヒョウ</t>
    </rPh>
    <phoneticPr fontId="2"/>
  </si>
  <si>
    <t>第2~3営業日</t>
    <rPh sb="0" eb="1">
      <t>ダイ</t>
    </rPh>
    <rPh sb="4" eb="7">
      <t>エイギョウビ</t>
    </rPh>
    <phoneticPr fontId="2"/>
  </si>
  <si>
    <t>12日頃</t>
    <rPh sb="3" eb="4">
      <t>コロ</t>
    </rPh>
    <phoneticPr fontId="5"/>
  </si>
  <si>
    <t>第3週月曜日</t>
    <rPh sb="0" eb="1">
      <t>ダイ</t>
    </rPh>
    <rPh sb="2" eb="3">
      <t>シュウ</t>
    </rPh>
    <rPh sb="3" eb="5">
      <t>ゲツヨウ</t>
    </rPh>
    <rPh sb="5" eb="6">
      <t>ビ</t>
    </rPh>
    <phoneticPr fontId="5"/>
  </si>
  <si>
    <t>分析コメントは25日前後</t>
    <rPh sb="0" eb="2">
      <t>ブンセキ</t>
    </rPh>
    <rPh sb="9" eb="12">
      <t>ニチゼンゴ</t>
    </rPh>
    <phoneticPr fontId="2"/>
  </si>
  <si>
    <t>15日頃</t>
    <rPh sb="2" eb="3">
      <t>ニチ</t>
    </rPh>
    <rPh sb="3" eb="4">
      <t>ゴロ</t>
    </rPh>
    <phoneticPr fontId="2"/>
  </si>
  <si>
    <t>yutori</t>
    <phoneticPr fontId="2"/>
  </si>
  <si>
    <t>5日頃</t>
    <rPh sb="1" eb="2">
      <t>ニチ</t>
    </rPh>
    <rPh sb="2" eb="3">
      <t>ゴロ</t>
    </rPh>
    <phoneticPr fontId="5"/>
  </si>
  <si>
    <t>適時開示</t>
    <rPh sb="0" eb="4">
      <t>テキジカイジ</t>
    </rPh>
    <phoneticPr fontId="5"/>
  </si>
  <si>
    <t>ジンズホールディングス</t>
  </si>
  <si>
    <t>262A</t>
    <phoneticPr fontId="2"/>
  </si>
  <si>
    <t>インターメスティック</t>
    <phoneticPr fontId="6"/>
  </si>
  <si>
    <t>適時開示</t>
    <phoneticPr fontId="4"/>
  </si>
  <si>
    <t>3~5日</t>
    <rPh sb="3" eb="4">
      <t>ニチ</t>
    </rPh>
    <phoneticPr fontId="5"/>
  </si>
  <si>
    <t>PAL</t>
    <phoneticPr fontId="2"/>
  </si>
  <si>
    <t>第3週月曜日</t>
    <rPh sb="0" eb="1">
      <t>ダイ</t>
    </rPh>
    <rPh sb="2" eb="3">
      <t>シュウ</t>
    </rPh>
    <rPh sb="3" eb="6">
      <t>ゲツヨウビ</t>
    </rPh>
    <phoneticPr fontId="2"/>
  </si>
  <si>
    <t>Ticker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</si>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</sst>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6"/>
      <name val="ＭＳ Ｐゴシック"/>
      <family val="3"/>
      <charset val="128"/>
    </font>
    <font>
      <sz val="6"/>
      <name val="Arial"/>
      <family val="2"/>
      <charset val="128"/>
    </font>
    <font>
      <u/>
      <sz val="9"/>
      <color indexed="12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u/>
      <sz val="11"/>
      <color indexed="12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9"/>
      <name val="Arial Unicode MS"/>
      <family val="3"/>
      <charset val="128"/>
    </font>
    <font>
      <sz val="8"/>
      <name val="Arial Unicode MS"/>
      <family val="3"/>
      <charset val="128"/>
    </font>
    <font>
      <sz val="9"/>
      <color theme="0"/>
      <name val="Arial Unicode MS"/>
      <family val="3"/>
      <charset val="128"/>
    </font>
    <font>
      <sz val="8"/>
      <color theme="0"/>
      <name val="Arial Unicode MS"/>
      <family val="3"/>
      <charset val="128"/>
    </font>
    <font>
      <sz val="10"/>
      <name val="Arial Unicode MS"/>
      <family val="3"/>
      <charset val="128"/>
    </font>
    <font>
      <sz val="9"/>
      <name val="MS PGothic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theme="3" tint="0.39997558519241921"/>
        <bgColor indexed="64"/>
      </patternFill>
    </fill>
  </fills>
  <borders count="22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7">
    <xf numFmtId="0" fontId="0" fillId="0" borderId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  <xf numFmtId="0" fontId="8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top"/>
      <protection locked="0"/>
    </xf>
    <xf numFmtId="0" fontId="8" fillId="22" borderId="2" applyNumberFormat="0" applyFon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6" fillId="23" borderId="4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23" borderId="9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1" fillId="0" borderId="0"/>
    <xf numFmtId="0" fontId="25" fillId="4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30" fillId="0" borderId="0" xfId="1" applyFont="1">
      <alignment vertical="center"/>
    </xf>
    <xf numFmtId="0" fontId="26" fillId="0" borderId="0" xfId="2" applyFont="1" applyAlignment="1">
      <alignment horizontal="center" vertical="center"/>
    </xf>
    <xf numFmtId="0" fontId="26" fillId="0" borderId="0" xfId="2" applyFont="1">
      <alignment vertical="center"/>
    </xf>
    <xf numFmtId="0" fontId="27" fillId="0" borderId="0" xfId="2" applyFont="1" applyAlignment="1">
      <alignment horizontal="center" vertical="center"/>
    </xf>
    <xf numFmtId="0" fontId="27" fillId="0" borderId="0" xfId="1" applyFont="1">
      <alignment vertical="center"/>
    </xf>
    <xf numFmtId="0" fontId="28" fillId="24" borderId="15" xfId="2" applyFont="1" applyFill="1" applyBorder="1" applyAlignment="1">
      <alignment horizontal="center" vertical="center"/>
    </xf>
    <xf numFmtId="0" fontId="28" fillId="24" borderId="10" xfId="2" applyFont="1" applyFill="1" applyBorder="1">
      <alignment vertical="center"/>
    </xf>
    <xf numFmtId="0" fontId="29" fillId="24" borderId="10" xfId="2" applyFont="1" applyFill="1" applyBorder="1" applyAlignment="1">
      <alignment horizontal="center" vertical="center"/>
    </xf>
    <xf numFmtId="0" fontId="29" fillId="24" borderId="16" xfId="2" applyFont="1" applyFill="1" applyBorder="1" applyAlignment="1">
      <alignment horizontal="center" vertical="center"/>
    </xf>
    <xf numFmtId="0" fontId="29" fillId="24" borderId="10" xfId="1" applyFont="1" applyFill="1" applyBorder="1">
      <alignment vertical="center"/>
    </xf>
    <xf numFmtId="0" fontId="26" fillId="0" borderId="0" xfId="1" applyFont="1">
      <alignment vertical="center"/>
    </xf>
    <xf numFmtId="0" fontId="26" fillId="0" borderId="21" xfId="2" applyFont="1" applyBorder="1" applyAlignment="1">
      <alignment horizontal="center" vertical="center"/>
    </xf>
    <xf numFmtId="0" fontId="26" fillId="0" borderId="11" xfId="2" applyFont="1" applyBorder="1">
      <alignment vertical="center"/>
    </xf>
    <xf numFmtId="0" fontId="27" fillId="0" borderId="11" xfId="2" applyFont="1" applyBorder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12" xfId="1" applyFont="1" applyBorder="1">
      <alignment vertical="center"/>
    </xf>
    <xf numFmtId="0" fontId="26" fillId="0" borderId="20" xfId="2" applyFont="1" applyBorder="1" applyAlignment="1">
      <alignment horizontal="center" vertical="center"/>
    </xf>
    <xf numFmtId="0" fontId="26" fillId="0" borderId="18" xfId="2" applyFont="1" applyBorder="1">
      <alignment vertical="center"/>
    </xf>
    <xf numFmtId="0" fontId="27" fillId="0" borderId="18" xfId="2" applyFont="1" applyBorder="1" applyAlignment="1">
      <alignment horizontal="center" vertical="center"/>
    </xf>
    <xf numFmtId="0" fontId="27" fillId="0" borderId="14" xfId="2" applyFont="1" applyBorder="1" applyAlignment="1">
      <alignment horizontal="center" vertical="center"/>
    </xf>
    <xf numFmtId="0" fontId="27" fillId="0" borderId="14" xfId="1" applyFont="1" applyBorder="1">
      <alignment vertical="center"/>
    </xf>
    <xf numFmtId="0" fontId="26" fillId="0" borderId="15" xfId="2" applyFont="1" applyBorder="1" applyAlignment="1">
      <alignment horizontal="center" vertical="center"/>
    </xf>
    <xf numFmtId="0" fontId="26" fillId="0" borderId="10" xfId="2" applyFont="1" applyBorder="1">
      <alignment vertical="center"/>
    </xf>
    <xf numFmtId="0" fontId="27" fillId="0" borderId="10" xfId="2" applyFont="1" applyBorder="1" applyAlignment="1">
      <alignment horizontal="center" vertical="center"/>
    </xf>
    <xf numFmtId="0" fontId="27" fillId="0" borderId="16" xfId="2" applyFont="1" applyBorder="1" applyAlignment="1">
      <alignment horizontal="center" vertical="center"/>
    </xf>
    <xf numFmtId="0" fontId="27" fillId="0" borderId="16" xfId="1" applyFont="1" applyBorder="1">
      <alignment vertical="center"/>
    </xf>
    <xf numFmtId="0" fontId="26" fillId="0" borderId="19" xfId="2" applyFont="1" applyBorder="1" applyAlignment="1">
      <alignment horizontal="center" vertical="center"/>
    </xf>
    <xf numFmtId="0" fontId="26" fillId="0" borderId="17" xfId="2" applyFont="1" applyBorder="1">
      <alignment vertical="center"/>
    </xf>
    <xf numFmtId="0" fontId="27" fillId="0" borderId="17" xfId="2" applyFont="1" applyBorder="1" applyAlignment="1">
      <alignment horizontal="center" vertical="center"/>
    </xf>
    <xf numFmtId="0" fontId="27" fillId="0" borderId="13" xfId="2" applyFont="1" applyBorder="1" applyAlignment="1">
      <alignment horizontal="center" vertical="center"/>
    </xf>
    <xf numFmtId="0" fontId="27" fillId="0" borderId="13" xfId="1" applyFont="1" applyBorder="1">
      <alignment vertical="center"/>
    </xf>
    <xf numFmtId="0" fontId="31" fillId="0" borderId="0" xfId="1" applyFont="1">
      <alignment vertical="center"/>
    </xf>
  </cellXfs>
  <cellStyles count="47">
    <cellStyle name="20% - アクセント 1 2" xfId="4" xr:uid="{00000000-0005-0000-0000-000000000000}"/>
    <cellStyle name="20% - アクセント 2 2" xfId="5" xr:uid="{00000000-0005-0000-0000-000001000000}"/>
    <cellStyle name="20% - アクセント 3 2" xfId="6" xr:uid="{00000000-0005-0000-0000-000002000000}"/>
    <cellStyle name="20% - アクセント 4 2" xfId="7" xr:uid="{00000000-0005-0000-0000-000003000000}"/>
    <cellStyle name="20% - アクセント 5 2" xfId="8" xr:uid="{00000000-0005-0000-0000-000004000000}"/>
    <cellStyle name="20% - アクセント 6 2" xfId="9" xr:uid="{00000000-0005-0000-0000-000005000000}"/>
    <cellStyle name="40% - アクセント 1 2" xfId="10" xr:uid="{00000000-0005-0000-0000-000006000000}"/>
    <cellStyle name="40% - アクセント 2 2" xfId="11" xr:uid="{00000000-0005-0000-0000-000007000000}"/>
    <cellStyle name="40% - アクセント 3 2" xfId="12" xr:uid="{00000000-0005-0000-0000-000008000000}"/>
    <cellStyle name="40% - アクセント 4 2" xfId="13" xr:uid="{00000000-0005-0000-0000-000009000000}"/>
    <cellStyle name="40% - アクセント 5 2" xfId="14" xr:uid="{00000000-0005-0000-0000-00000A000000}"/>
    <cellStyle name="40% - アクセント 6 2" xfId="15" xr:uid="{00000000-0005-0000-0000-00000B000000}"/>
    <cellStyle name="60% - アクセント 1 2" xfId="16" xr:uid="{00000000-0005-0000-0000-00000C000000}"/>
    <cellStyle name="60% - アクセント 2 2" xfId="17" xr:uid="{00000000-0005-0000-0000-00000D000000}"/>
    <cellStyle name="60% - アクセント 3 2" xfId="18" xr:uid="{00000000-0005-0000-0000-00000E000000}"/>
    <cellStyle name="60% - アクセント 4 2" xfId="19" xr:uid="{00000000-0005-0000-0000-00000F000000}"/>
    <cellStyle name="60% - アクセント 5 2" xfId="20" xr:uid="{00000000-0005-0000-0000-000010000000}"/>
    <cellStyle name="60% - アクセント 6 2" xfId="21" xr:uid="{00000000-0005-0000-0000-000011000000}"/>
    <cellStyle name="Normal" xfId="0" builtinId="0"/>
    <cellStyle name="アクセント 1 2" xfId="22" xr:uid="{00000000-0005-0000-0000-000012000000}"/>
    <cellStyle name="アクセント 2 2" xfId="23" xr:uid="{00000000-0005-0000-0000-000013000000}"/>
    <cellStyle name="アクセント 3 2" xfId="24" xr:uid="{00000000-0005-0000-0000-000014000000}"/>
    <cellStyle name="アクセント 4 2" xfId="25" xr:uid="{00000000-0005-0000-0000-000015000000}"/>
    <cellStyle name="アクセント 5 2" xfId="26" xr:uid="{00000000-0005-0000-0000-000016000000}"/>
    <cellStyle name="アクセント 6 2" xfId="27" xr:uid="{00000000-0005-0000-0000-000017000000}"/>
    <cellStyle name="タイトル 2" xfId="28" xr:uid="{00000000-0005-0000-0000-000018000000}"/>
    <cellStyle name="チェック セル 2" xfId="29" xr:uid="{00000000-0005-0000-0000-000019000000}"/>
    <cellStyle name="どちらでもない 2" xfId="30" xr:uid="{00000000-0005-0000-0000-00001A000000}"/>
    <cellStyle name="ハイパーリンク 2" xfId="31" xr:uid="{00000000-0005-0000-0000-00001B000000}"/>
    <cellStyle name="ハイパーリンク 3" xfId="3" xr:uid="{00000000-0005-0000-0000-00001C000000}"/>
    <cellStyle name="メモ 2" xfId="32" xr:uid="{00000000-0005-0000-0000-00001D000000}"/>
    <cellStyle name="リンク セル 2" xfId="33" xr:uid="{00000000-0005-0000-0000-00001E000000}"/>
    <cellStyle name="入力 2" xfId="44" xr:uid="{00000000-0005-0000-0000-000029000000}"/>
    <cellStyle name="出力 2" xfId="42" xr:uid="{00000000-0005-0000-0000-000027000000}"/>
    <cellStyle name="悪い 2" xfId="34" xr:uid="{00000000-0005-0000-0000-00001F000000}"/>
    <cellStyle name="標準 2" xfId="45" xr:uid="{00000000-0005-0000-0000-00002B000000}"/>
    <cellStyle name="標準 3" xfId="1" xr:uid="{00000000-0005-0000-0000-00002C000000}"/>
    <cellStyle name="標準_Sheet1" xfId="2" xr:uid="{00000000-0005-0000-0000-00002D000000}"/>
    <cellStyle name="良い 2" xfId="46" xr:uid="{00000000-0005-0000-0000-00002E000000}"/>
    <cellStyle name="見出し 1 2" xfId="37" xr:uid="{00000000-0005-0000-0000-000022000000}"/>
    <cellStyle name="見出し 2 2" xfId="38" xr:uid="{00000000-0005-0000-0000-000023000000}"/>
    <cellStyle name="見出し 3 2" xfId="39" xr:uid="{00000000-0005-0000-0000-000024000000}"/>
    <cellStyle name="見出し 4 2" xfId="40" xr:uid="{00000000-0005-0000-0000-000025000000}"/>
    <cellStyle name="計算 2" xfId="35" xr:uid="{00000000-0005-0000-0000-000020000000}"/>
    <cellStyle name="説明文 2" xfId="43" xr:uid="{00000000-0005-0000-0000-000028000000}"/>
    <cellStyle name="警告文 2" xfId="36" xr:uid="{00000000-0005-0000-0000-000021000000}"/>
    <cellStyle name="集計 2" xfId="41" xr:uid="{00000000-0005-0000-0000-00002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Data...3507055564</v>
        <stp/>
        <stp>BDP|18083475014624507367</stp>
        <tr r="A10" s="2"/>
      </tp>
      <tp t="s">
        <v>#N/A Requesting Data...4103571652</v>
        <stp/>
        <stp>BDP|14812490795736493557</stp>
        <tr r="A54" s="2"/>
      </tp>
      <tp t="s">
        <v>#N/A Requesting Data...3655197983</v>
        <stp/>
        <stp>BDP|12744499455529794147</stp>
        <tr r="A61" s="2"/>
      </tp>
      <tp t="s">
        <v>#N/A Requesting Data...3687659971</v>
        <stp/>
        <stp>BDP|14044835812962581457</stp>
        <tr r="A63" s="2"/>
      </tp>
      <tp t="s">
        <v>#N/A Requesting Data...4008707668</v>
        <stp/>
        <stp>BDP|14649196029856330999</stp>
        <tr r="A43" s="2"/>
      </tp>
      <tp t="s">
        <v>#N/A Requesting Data...3561379823</v>
        <stp/>
        <stp>BDP|16525854230382120724</stp>
        <tr r="A37" s="2"/>
      </tp>
      <tp t="s">
        <v>#N/A Requesting Data...2445638983</v>
        <stp/>
        <stp>BDP|11407861001459124988</stp>
        <tr r="A50" s="2"/>
      </tp>
      <tp t="s">
        <v>#N/A Requesting Data...1598876600</v>
        <stp/>
        <stp>BDP|15566191380037797274</stp>
        <tr r="A31" s="2"/>
      </tp>
      <tp t="s">
        <v>#N/A Requesting Data...1109702912</v>
        <stp/>
        <stp>BDP|16496014007271893911</stp>
        <tr r="A20" s="2"/>
      </tp>
      <tp t="s">
        <v>#N/A Requesting Data...3212631521</v>
        <stp/>
        <stp>BDP|12213626047508210652</stp>
        <tr r="A12" s="2"/>
      </tp>
      <tp t="s">
        <v>#N/A Requesting Data...805568718</v>
        <stp/>
        <stp>BDP|10471830480747203896</stp>
        <tr r="A13" s="2"/>
      </tp>
      <tp t="s">
        <v>#N/A Requesting Data...3846379814</v>
        <stp/>
        <stp>BDP|16602492221879451594</stp>
        <tr r="A7" s="2"/>
      </tp>
      <tp t="s">
        <v>#N/A Requesting Data...1296011620</v>
        <stp/>
        <stp>BDP|11508101779802223827</stp>
        <tr r="A58" s="2"/>
      </tp>
      <tp t="s">
        <v>#N/A Requesting Data...3649032284</v>
        <stp/>
        <stp>BDP|12030176234668942597</stp>
        <tr r="A41" s="2"/>
      </tp>
      <tp t="s">
        <v>#N/A Requesting Data...779511138</v>
        <stp/>
        <stp>BDP|12838893093347392684</stp>
        <tr r="A44" s="2"/>
      </tp>
      <tp t="s">
        <v>#N/A Requesting Data...1308654656</v>
        <stp/>
        <stp>BDP|14265706845320162581</stp>
        <tr r="A11" s="2"/>
      </tp>
      <tp t="s">
        <v>#N/A Requesting Data...3701046834</v>
        <stp/>
        <stp>BDP|13073799924670139505</stp>
        <tr r="A21" s="2"/>
      </tp>
      <tp t="s">
        <v>#N/A Requesting Data...3112818626</v>
        <stp/>
        <stp>BDP|18392705351339731099</stp>
        <tr r="A33" s="2"/>
      </tp>
      <tp t="s">
        <v>#N/A Requesting Data...3774025600</v>
        <stp/>
        <stp>BDP|17357052608086525092</stp>
        <tr r="A29" s="2"/>
      </tp>
      <tp t="s">
        <v>#N/A Requesting Data...2061493410</v>
        <stp/>
        <stp>BDP|16670582688733498957</stp>
        <tr r="A45" s="2"/>
      </tp>
      <tp t="s">
        <v>#N/A Requesting Data...1041025928</v>
        <stp/>
        <stp>BDP|17848846180165275392</stp>
        <tr r="A64" s="2"/>
      </tp>
      <tp t="s">
        <v>#N/A Requesting Data...1784913833</v>
        <stp/>
        <stp>BDP|14561676242356162630</stp>
        <tr r="A42" s="2"/>
      </tp>
      <tp t="s">
        <v>#N/A Requesting Data...2750937951</v>
        <stp/>
        <stp>BDP|18030463608118610300</stp>
        <tr r="A51" s="2"/>
      </tp>
      <tp t="s">
        <v>#N/A Requesting Data...4162689366</v>
        <stp/>
        <stp>BDP|16379611668154623645</stp>
        <tr r="A26" s="2"/>
      </tp>
      <tp t="s">
        <v>#N/A Requesting Data...913489090</v>
        <stp/>
        <stp>BDP|12044760646082345709</stp>
        <tr r="A25" s="2"/>
      </tp>
      <tp t="s">
        <v>#N/A Requesting Data...3826311214</v>
        <stp/>
        <stp>BDP|11127784051361459790</stp>
        <tr r="A30" s="2"/>
      </tp>
      <tp t="s">
        <v>#N/A Requesting Data...2461601759</v>
        <stp/>
        <stp>BDP|14966291489769729297</stp>
        <tr r="A52" s="2"/>
      </tp>
    </main>
    <main first="bofaddin.rtdserver">
      <tp t="s">
        <v>#N/A Requesting Data...2835947829</v>
        <stp/>
        <stp>BDP|8736234751562823175</stp>
        <tr r="A22" s="2"/>
      </tp>
      <tp t="s">
        <v>#N/A Requesting Data...2018945103</v>
        <stp/>
        <stp>BDP|9344155389534466869</stp>
        <tr r="A9" s="2"/>
      </tp>
      <tp t="s">
        <v>#N/A Requesting Data...3455608822</v>
        <stp/>
        <stp>BDP|4475682470950788967</stp>
        <tr r="A17" s="2"/>
      </tp>
      <tp t="s">
        <v>#N/A Requesting Data...2646070211</v>
        <stp/>
        <stp>BDP|9756712153372088512</stp>
        <tr r="A3" s="2"/>
      </tp>
      <tp t="s">
        <v>#N/A Requesting Data...3399837814</v>
        <stp/>
        <stp>BDP|7070149180572717184</stp>
        <tr r="A59" s="2"/>
      </tp>
      <tp t="s">
        <v>#N/A Requesting Data...2975337687</v>
        <stp/>
        <stp>BDP|9669477189830481884</stp>
        <tr r="A16" s="2"/>
      </tp>
      <tp t="s">
        <v>#N/A Requesting Data...3138272087</v>
        <stp/>
        <stp>BDP|5651248673375356870</stp>
        <tr r="A48" s="2"/>
      </tp>
      <tp t="s">
        <v>#N/A Requesting Data...2642904987</v>
        <stp/>
        <stp>BDP|9149916515707517832</stp>
        <tr r="A24" s="2"/>
      </tp>
      <tp t="s">
        <v>#N/A Requesting Data...4154965525</v>
        <stp/>
        <stp>BDP|4470590533068760245</stp>
        <tr r="A28" s="2"/>
      </tp>
      <tp t="s">
        <v>#N/A Requesting Data...3813699681</v>
        <stp/>
        <stp>BDP|2600966883259415264</stp>
        <tr r="A56" s="2"/>
      </tp>
      <tp t="s">
        <v>#N/A Requesting Data...2970194212</v>
        <stp/>
        <stp>BDP|3433436396086237110</stp>
        <tr r="A49" s="2"/>
      </tp>
      <tp t="s">
        <v>#N/A Requesting Data...3062394498</v>
        <stp/>
        <stp>BDP|8516368140744822152</stp>
        <tr r="A6" s="2"/>
      </tp>
      <tp t="s">
        <v>#N/A Requesting Data...910061943</v>
        <stp/>
        <stp>BDP|8792799607055748011</stp>
        <tr r="A34" s="2"/>
      </tp>
      <tp t="s">
        <v>#N/A Requesting Data...3196376130</v>
        <stp/>
        <stp>BDP|8981524345193400069</stp>
        <tr r="A55" s="2"/>
      </tp>
      <tp t="s">
        <v>#N/A Requesting Data...2889904405</v>
        <stp/>
        <stp>BDP|6997637703183996833</stp>
        <tr r="A32" s="2"/>
      </tp>
      <tp t="s">
        <v>#N/A Requesting Data...3433178554</v>
        <stp/>
        <stp>BDP|7742218746449740375</stp>
        <tr r="A60" s="2"/>
      </tp>
      <tp t="s">
        <v>#N/A Requesting Data...858552437</v>
        <stp/>
        <stp>BDP|9792240063095700300</stp>
        <tr r="A39" s="2"/>
      </tp>
      <tp t="s">
        <v>#N/A Requesting Data...740134530</v>
        <stp/>
        <stp>BDP|1334685853374241225</stp>
        <tr r="A8" s="2"/>
      </tp>
      <tp t="s">
        <v>#N/A Requesting Data...3631665207</v>
        <stp/>
        <stp>BDP|6510712120427439075</stp>
        <tr r="A53" s="2"/>
      </tp>
      <tp t="s">
        <v>#N/A Requesting Data...4172603526</v>
        <stp/>
        <stp>BDP|4885176276204005324</stp>
        <tr r="A15" s="2"/>
      </tp>
      <tp t="s">
        <v>#N/A Requesting Data...2859371430</v>
        <stp/>
        <stp>BDP|5782899560156190878</stp>
        <tr r="A5" s="2"/>
      </tp>
      <tp t="s">
        <v>#N/A Requesting Data...2673761495</v>
        <stp/>
        <stp>BDP|7289970549218609732</stp>
        <tr r="A35" s="2"/>
      </tp>
      <tp t="s">
        <v>#N/A Requesting Data...3940929863</v>
        <stp/>
        <stp>BDP|4417221575907574320</stp>
        <tr r="A40" s="2"/>
      </tp>
      <tp t="s">
        <v>#N/A Requesting Data...1869280306</v>
        <stp/>
        <stp>BDP|2014726128879931875</stp>
        <tr r="A62" s="2"/>
      </tp>
      <tp t="s">
        <v>#N/A Requesting Data...1426970709</v>
        <stp/>
        <stp>BDP|3655763009874617792</stp>
        <tr r="A4" s="2"/>
        <tr r="A65" s="2"/>
      </tp>
      <tp t="s">
        <v>#N/A Requesting Data...2119276039</v>
        <stp/>
        <stp>BDP|3680543656812378162</stp>
        <tr r="A46" s="2"/>
      </tp>
      <tp t="s">
        <v>#N/A Requesting Data...4031525555</v>
        <stp/>
        <stp>BDP|1876407964754142634</stp>
        <tr r="A19" s="2"/>
      </tp>
      <tp t="s">
        <v>#N/A Requesting Data...1395794858</v>
        <stp/>
        <stp>BDP|1705036615307892561</stp>
        <tr r="A36" s="2"/>
      </tp>
      <tp t="s">
        <v>#N/A Requesting Data...3845914969</v>
        <stp/>
        <stp>BDP|2476236621006459635</stp>
        <tr r="A18" s="2"/>
      </tp>
      <tp t="s">
        <v>#N/A Requesting Data...3374797087</v>
        <stp/>
        <stp>BDP|4165191264600239185</stp>
        <tr r="A27" s="2"/>
      </tp>
      <tp t="s">
        <v>#N/A Requesting Data...3751224291</v>
        <stp/>
        <stp>BDP|7693004606172951648</stp>
        <tr r="A14" s="2"/>
      </tp>
      <tp t="s">
        <v>#N/A Requesting Data...2000404234</v>
        <stp/>
        <stp>BDP|46440937035644945</stp>
        <tr r="A57" s="2"/>
      </tp>
      <tp t="s">
        <v>#N/A Requesting Data...1552977524</v>
        <stp/>
        <stp>BDP|759652040990359502</stp>
        <tr r="A47" s="2"/>
      </tp>
      <tp t="s">
        <v>#N/A Requesting Data...1303771699</v>
        <stp/>
        <stp>BDP|603001011811840233</stp>
        <tr r="A23" s="2"/>
      </tp>
      <tp t="s">
        <v>#N/A Requesting Data...3714108468</v>
        <stp/>
        <stp>BDP|663111848569316533</stp>
        <tr r="A38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pworkspace-my.sharepoint.com/personal/ivan_cheung_arrowpointfund_com/Documents/Documents/Earning_Bets.xlsx" TargetMode="External"/><Relationship Id="rId1" Type="http://schemas.openxmlformats.org/officeDocument/2006/relationships/externalLinkPath" Target="/personal/ivan_cheung_arrowpointfund_com/Documents/Documents/Earning_Be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3Q2026"/>
      <sheetName val="4Q2026"/>
      <sheetName val="List"/>
    </sheetNames>
    <sheetDataSet>
      <sheetData sheetId="0">
        <row r="2">
          <cell r="C2" t="str">
            <v>Shimamura Co Ltd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</sheetPr>
  <dimension ref="A1:H66"/>
  <sheetViews>
    <sheetView showGridLines="0" zoomScale="115" zoomScaleNormal="115" zoomScaleSheetLayoutView="100" workbookViewId="0">
      <selection activeCell="F3" sqref="F3:G51"/>
    </sheetView>
  </sheetViews>
  <sheetFormatPr defaultRowHeight="12"/>
  <cols>
    <col min="1" max="2" width="5.5703125" style="1" customWidth="1"/>
    <col min="3" max="3" width="9" style="11"/>
    <col min="4" max="4" width="26.42578125" style="11" bestFit="1" customWidth="1"/>
    <col min="5" max="5" width="16.42578125" style="5" customWidth="1"/>
    <col min="6" max="6" width="11.28515625" style="5" bestFit="1" customWidth="1"/>
    <col min="7" max="7" width="22.85546875" style="5" customWidth="1"/>
    <col min="8" max="248" width="9" style="5"/>
    <col min="249" max="249" width="5.5703125" style="5" customWidth="1"/>
    <col min="250" max="250" width="9" style="5"/>
    <col min="251" max="251" width="20.7109375" style="5" bestFit="1" customWidth="1"/>
    <col min="252" max="252" width="9" style="5"/>
    <col min="253" max="253" width="0" style="5" hidden="1" customWidth="1"/>
    <col min="254" max="254" width="29.5703125" style="5" customWidth="1"/>
    <col min="255" max="255" width="9" style="5" customWidth="1"/>
    <col min="256" max="504" width="9" style="5"/>
    <col min="505" max="505" width="5.5703125" style="5" customWidth="1"/>
    <col min="506" max="506" width="9" style="5"/>
    <col min="507" max="507" width="20.7109375" style="5" bestFit="1" customWidth="1"/>
    <col min="508" max="508" width="9" style="5"/>
    <col min="509" max="509" width="0" style="5" hidden="1" customWidth="1"/>
    <col min="510" max="510" width="29.5703125" style="5" customWidth="1"/>
    <col min="511" max="511" width="9" style="5" customWidth="1"/>
    <col min="512" max="760" width="9" style="5"/>
    <col min="761" max="761" width="5.5703125" style="5" customWidth="1"/>
    <col min="762" max="762" width="9" style="5"/>
    <col min="763" max="763" width="20.7109375" style="5" bestFit="1" customWidth="1"/>
    <col min="764" max="764" width="9" style="5"/>
    <col min="765" max="765" width="0" style="5" hidden="1" customWidth="1"/>
    <col min="766" max="766" width="29.5703125" style="5" customWidth="1"/>
    <col min="767" max="767" width="9" style="5" customWidth="1"/>
    <col min="768" max="1016" width="9" style="5"/>
    <col min="1017" max="1017" width="5.5703125" style="5" customWidth="1"/>
    <col min="1018" max="1018" width="9" style="5"/>
    <col min="1019" max="1019" width="20.7109375" style="5" bestFit="1" customWidth="1"/>
    <col min="1020" max="1020" width="9" style="5"/>
    <col min="1021" max="1021" width="0" style="5" hidden="1" customWidth="1"/>
    <col min="1022" max="1022" width="29.5703125" style="5" customWidth="1"/>
    <col min="1023" max="1023" width="9" style="5" customWidth="1"/>
    <col min="1024" max="1272" width="9" style="5"/>
    <col min="1273" max="1273" width="5.5703125" style="5" customWidth="1"/>
    <col min="1274" max="1274" width="9" style="5"/>
    <col min="1275" max="1275" width="20.7109375" style="5" bestFit="1" customWidth="1"/>
    <col min="1276" max="1276" width="9" style="5"/>
    <col min="1277" max="1277" width="0" style="5" hidden="1" customWidth="1"/>
    <col min="1278" max="1278" width="29.5703125" style="5" customWidth="1"/>
    <col min="1279" max="1279" width="9" style="5" customWidth="1"/>
    <col min="1280" max="1528" width="9" style="5"/>
    <col min="1529" max="1529" width="5.5703125" style="5" customWidth="1"/>
    <col min="1530" max="1530" width="9" style="5"/>
    <col min="1531" max="1531" width="20.7109375" style="5" bestFit="1" customWidth="1"/>
    <col min="1532" max="1532" width="9" style="5"/>
    <col min="1533" max="1533" width="0" style="5" hidden="1" customWidth="1"/>
    <col min="1534" max="1534" width="29.5703125" style="5" customWidth="1"/>
    <col min="1535" max="1535" width="9" style="5" customWidth="1"/>
    <col min="1536" max="1784" width="9" style="5"/>
    <col min="1785" max="1785" width="5.5703125" style="5" customWidth="1"/>
    <col min="1786" max="1786" width="9" style="5"/>
    <col min="1787" max="1787" width="20.7109375" style="5" bestFit="1" customWidth="1"/>
    <col min="1788" max="1788" width="9" style="5"/>
    <col min="1789" max="1789" width="0" style="5" hidden="1" customWidth="1"/>
    <col min="1790" max="1790" width="29.5703125" style="5" customWidth="1"/>
    <col min="1791" max="1791" width="9" style="5" customWidth="1"/>
    <col min="1792" max="2040" width="9" style="5"/>
    <col min="2041" max="2041" width="5.5703125" style="5" customWidth="1"/>
    <col min="2042" max="2042" width="9" style="5"/>
    <col min="2043" max="2043" width="20.7109375" style="5" bestFit="1" customWidth="1"/>
    <col min="2044" max="2044" width="9" style="5"/>
    <col min="2045" max="2045" width="0" style="5" hidden="1" customWidth="1"/>
    <col min="2046" max="2046" width="29.5703125" style="5" customWidth="1"/>
    <col min="2047" max="2047" width="9" style="5" customWidth="1"/>
    <col min="2048" max="2296" width="9" style="5"/>
    <col min="2297" max="2297" width="5.5703125" style="5" customWidth="1"/>
    <col min="2298" max="2298" width="9" style="5"/>
    <col min="2299" max="2299" width="20.7109375" style="5" bestFit="1" customWidth="1"/>
    <col min="2300" max="2300" width="9" style="5"/>
    <col min="2301" max="2301" width="0" style="5" hidden="1" customWidth="1"/>
    <col min="2302" max="2302" width="29.5703125" style="5" customWidth="1"/>
    <col min="2303" max="2303" width="9" style="5" customWidth="1"/>
    <col min="2304" max="2552" width="9" style="5"/>
    <col min="2553" max="2553" width="5.5703125" style="5" customWidth="1"/>
    <col min="2554" max="2554" width="9" style="5"/>
    <col min="2555" max="2555" width="20.7109375" style="5" bestFit="1" customWidth="1"/>
    <col min="2556" max="2556" width="9" style="5"/>
    <col min="2557" max="2557" width="0" style="5" hidden="1" customWidth="1"/>
    <col min="2558" max="2558" width="29.5703125" style="5" customWidth="1"/>
    <col min="2559" max="2559" width="9" style="5" customWidth="1"/>
    <col min="2560" max="2808" width="9" style="5"/>
    <col min="2809" max="2809" width="5.5703125" style="5" customWidth="1"/>
    <col min="2810" max="2810" width="9" style="5"/>
    <col min="2811" max="2811" width="20.7109375" style="5" bestFit="1" customWidth="1"/>
    <col min="2812" max="2812" width="9" style="5"/>
    <col min="2813" max="2813" width="0" style="5" hidden="1" customWidth="1"/>
    <col min="2814" max="2814" width="29.5703125" style="5" customWidth="1"/>
    <col min="2815" max="2815" width="9" style="5" customWidth="1"/>
    <col min="2816" max="3064" width="9" style="5"/>
    <col min="3065" max="3065" width="5.5703125" style="5" customWidth="1"/>
    <col min="3066" max="3066" width="9" style="5"/>
    <col min="3067" max="3067" width="20.7109375" style="5" bestFit="1" customWidth="1"/>
    <col min="3068" max="3068" width="9" style="5"/>
    <col min="3069" max="3069" width="0" style="5" hidden="1" customWidth="1"/>
    <col min="3070" max="3070" width="29.5703125" style="5" customWidth="1"/>
    <col min="3071" max="3071" width="9" style="5" customWidth="1"/>
    <col min="3072" max="3320" width="9" style="5"/>
    <col min="3321" max="3321" width="5.5703125" style="5" customWidth="1"/>
    <col min="3322" max="3322" width="9" style="5"/>
    <col min="3323" max="3323" width="20.7109375" style="5" bestFit="1" customWidth="1"/>
    <col min="3324" max="3324" width="9" style="5"/>
    <col min="3325" max="3325" width="0" style="5" hidden="1" customWidth="1"/>
    <col min="3326" max="3326" width="29.5703125" style="5" customWidth="1"/>
    <col min="3327" max="3327" width="9" style="5" customWidth="1"/>
    <col min="3328" max="3576" width="9" style="5"/>
    <col min="3577" max="3577" width="5.5703125" style="5" customWidth="1"/>
    <col min="3578" max="3578" width="9" style="5"/>
    <col min="3579" max="3579" width="20.7109375" style="5" bestFit="1" customWidth="1"/>
    <col min="3580" max="3580" width="9" style="5"/>
    <col min="3581" max="3581" width="0" style="5" hidden="1" customWidth="1"/>
    <col min="3582" max="3582" width="29.5703125" style="5" customWidth="1"/>
    <col min="3583" max="3583" width="9" style="5" customWidth="1"/>
    <col min="3584" max="3832" width="9" style="5"/>
    <col min="3833" max="3833" width="5.5703125" style="5" customWidth="1"/>
    <col min="3834" max="3834" width="9" style="5"/>
    <col min="3835" max="3835" width="20.7109375" style="5" bestFit="1" customWidth="1"/>
    <col min="3836" max="3836" width="9" style="5"/>
    <col min="3837" max="3837" width="0" style="5" hidden="1" customWidth="1"/>
    <col min="3838" max="3838" width="29.5703125" style="5" customWidth="1"/>
    <col min="3839" max="3839" width="9" style="5" customWidth="1"/>
    <col min="3840" max="4088" width="9" style="5"/>
    <col min="4089" max="4089" width="5.5703125" style="5" customWidth="1"/>
    <col min="4090" max="4090" width="9" style="5"/>
    <col min="4091" max="4091" width="20.7109375" style="5" bestFit="1" customWidth="1"/>
    <col min="4092" max="4092" width="9" style="5"/>
    <col min="4093" max="4093" width="0" style="5" hidden="1" customWidth="1"/>
    <col min="4094" max="4094" width="29.5703125" style="5" customWidth="1"/>
    <col min="4095" max="4095" width="9" style="5" customWidth="1"/>
    <col min="4096" max="4344" width="9" style="5"/>
    <col min="4345" max="4345" width="5.5703125" style="5" customWidth="1"/>
    <col min="4346" max="4346" width="9" style="5"/>
    <col min="4347" max="4347" width="20.7109375" style="5" bestFit="1" customWidth="1"/>
    <col min="4348" max="4348" width="9" style="5"/>
    <col min="4349" max="4349" width="0" style="5" hidden="1" customWidth="1"/>
    <col min="4350" max="4350" width="29.5703125" style="5" customWidth="1"/>
    <col min="4351" max="4351" width="9" style="5" customWidth="1"/>
    <col min="4352" max="4600" width="9" style="5"/>
    <col min="4601" max="4601" width="5.5703125" style="5" customWidth="1"/>
    <col min="4602" max="4602" width="9" style="5"/>
    <col min="4603" max="4603" width="20.7109375" style="5" bestFit="1" customWidth="1"/>
    <col min="4604" max="4604" width="9" style="5"/>
    <col min="4605" max="4605" width="0" style="5" hidden="1" customWidth="1"/>
    <col min="4606" max="4606" width="29.5703125" style="5" customWidth="1"/>
    <col min="4607" max="4607" width="9" style="5" customWidth="1"/>
    <col min="4608" max="4856" width="9" style="5"/>
    <col min="4857" max="4857" width="5.5703125" style="5" customWidth="1"/>
    <col min="4858" max="4858" width="9" style="5"/>
    <col min="4859" max="4859" width="20.7109375" style="5" bestFit="1" customWidth="1"/>
    <col min="4860" max="4860" width="9" style="5"/>
    <col min="4861" max="4861" width="0" style="5" hidden="1" customWidth="1"/>
    <col min="4862" max="4862" width="29.5703125" style="5" customWidth="1"/>
    <col min="4863" max="4863" width="9" style="5" customWidth="1"/>
    <col min="4864" max="5112" width="9" style="5"/>
    <col min="5113" max="5113" width="5.5703125" style="5" customWidth="1"/>
    <col min="5114" max="5114" width="9" style="5"/>
    <col min="5115" max="5115" width="20.7109375" style="5" bestFit="1" customWidth="1"/>
    <col min="5116" max="5116" width="9" style="5"/>
    <col min="5117" max="5117" width="0" style="5" hidden="1" customWidth="1"/>
    <col min="5118" max="5118" width="29.5703125" style="5" customWidth="1"/>
    <col min="5119" max="5119" width="9" style="5" customWidth="1"/>
    <col min="5120" max="5368" width="9" style="5"/>
    <col min="5369" max="5369" width="5.5703125" style="5" customWidth="1"/>
    <col min="5370" max="5370" width="9" style="5"/>
    <col min="5371" max="5371" width="20.7109375" style="5" bestFit="1" customWidth="1"/>
    <col min="5372" max="5372" width="9" style="5"/>
    <col min="5373" max="5373" width="0" style="5" hidden="1" customWidth="1"/>
    <col min="5374" max="5374" width="29.5703125" style="5" customWidth="1"/>
    <col min="5375" max="5375" width="9" style="5" customWidth="1"/>
    <col min="5376" max="5624" width="9" style="5"/>
    <col min="5625" max="5625" width="5.5703125" style="5" customWidth="1"/>
    <col min="5626" max="5626" width="9" style="5"/>
    <col min="5627" max="5627" width="20.7109375" style="5" bestFit="1" customWidth="1"/>
    <col min="5628" max="5628" width="9" style="5"/>
    <col min="5629" max="5629" width="0" style="5" hidden="1" customWidth="1"/>
    <col min="5630" max="5630" width="29.5703125" style="5" customWidth="1"/>
    <col min="5631" max="5631" width="9" style="5" customWidth="1"/>
    <col min="5632" max="5880" width="9" style="5"/>
    <col min="5881" max="5881" width="5.5703125" style="5" customWidth="1"/>
    <col min="5882" max="5882" width="9" style="5"/>
    <col min="5883" max="5883" width="20.7109375" style="5" bestFit="1" customWidth="1"/>
    <col min="5884" max="5884" width="9" style="5"/>
    <col min="5885" max="5885" width="0" style="5" hidden="1" customWidth="1"/>
    <col min="5886" max="5886" width="29.5703125" style="5" customWidth="1"/>
    <col min="5887" max="5887" width="9" style="5" customWidth="1"/>
    <col min="5888" max="6136" width="9" style="5"/>
    <col min="6137" max="6137" width="5.5703125" style="5" customWidth="1"/>
    <col min="6138" max="6138" width="9" style="5"/>
    <col min="6139" max="6139" width="20.7109375" style="5" bestFit="1" customWidth="1"/>
    <col min="6140" max="6140" width="9" style="5"/>
    <col min="6141" max="6141" width="0" style="5" hidden="1" customWidth="1"/>
    <col min="6142" max="6142" width="29.5703125" style="5" customWidth="1"/>
    <col min="6143" max="6143" width="9" style="5" customWidth="1"/>
    <col min="6144" max="6392" width="9" style="5"/>
    <col min="6393" max="6393" width="5.5703125" style="5" customWidth="1"/>
    <col min="6394" max="6394" width="9" style="5"/>
    <col min="6395" max="6395" width="20.7109375" style="5" bestFit="1" customWidth="1"/>
    <col min="6396" max="6396" width="9" style="5"/>
    <col min="6397" max="6397" width="0" style="5" hidden="1" customWidth="1"/>
    <col min="6398" max="6398" width="29.5703125" style="5" customWidth="1"/>
    <col min="6399" max="6399" width="9" style="5" customWidth="1"/>
    <col min="6400" max="6648" width="9" style="5"/>
    <col min="6649" max="6649" width="5.5703125" style="5" customWidth="1"/>
    <col min="6650" max="6650" width="9" style="5"/>
    <col min="6651" max="6651" width="20.7109375" style="5" bestFit="1" customWidth="1"/>
    <col min="6652" max="6652" width="9" style="5"/>
    <col min="6653" max="6653" width="0" style="5" hidden="1" customWidth="1"/>
    <col min="6654" max="6654" width="29.5703125" style="5" customWidth="1"/>
    <col min="6655" max="6655" width="9" style="5" customWidth="1"/>
    <col min="6656" max="6904" width="9" style="5"/>
    <col min="6905" max="6905" width="5.5703125" style="5" customWidth="1"/>
    <col min="6906" max="6906" width="9" style="5"/>
    <col min="6907" max="6907" width="20.7109375" style="5" bestFit="1" customWidth="1"/>
    <col min="6908" max="6908" width="9" style="5"/>
    <col min="6909" max="6909" width="0" style="5" hidden="1" customWidth="1"/>
    <col min="6910" max="6910" width="29.5703125" style="5" customWidth="1"/>
    <col min="6911" max="6911" width="9" style="5" customWidth="1"/>
    <col min="6912" max="7160" width="9" style="5"/>
    <col min="7161" max="7161" width="5.5703125" style="5" customWidth="1"/>
    <col min="7162" max="7162" width="9" style="5"/>
    <col min="7163" max="7163" width="20.7109375" style="5" bestFit="1" customWidth="1"/>
    <col min="7164" max="7164" width="9" style="5"/>
    <col min="7165" max="7165" width="0" style="5" hidden="1" customWidth="1"/>
    <col min="7166" max="7166" width="29.5703125" style="5" customWidth="1"/>
    <col min="7167" max="7167" width="9" style="5" customWidth="1"/>
    <col min="7168" max="7416" width="9" style="5"/>
    <col min="7417" max="7417" width="5.5703125" style="5" customWidth="1"/>
    <col min="7418" max="7418" width="9" style="5"/>
    <col min="7419" max="7419" width="20.7109375" style="5" bestFit="1" customWidth="1"/>
    <col min="7420" max="7420" width="9" style="5"/>
    <col min="7421" max="7421" width="0" style="5" hidden="1" customWidth="1"/>
    <col min="7422" max="7422" width="29.5703125" style="5" customWidth="1"/>
    <col min="7423" max="7423" width="9" style="5" customWidth="1"/>
    <col min="7424" max="7672" width="9" style="5"/>
    <col min="7673" max="7673" width="5.5703125" style="5" customWidth="1"/>
    <col min="7674" max="7674" width="9" style="5"/>
    <col min="7675" max="7675" width="20.7109375" style="5" bestFit="1" customWidth="1"/>
    <col min="7676" max="7676" width="9" style="5"/>
    <col min="7677" max="7677" width="0" style="5" hidden="1" customWidth="1"/>
    <col min="7678" max="7678" width="29.5703125" style="5" customWidth="1"/>
    <col min="7679" max="7679" width="9" style="5" customWidth="1"/>
    <col min="7680" max="7928" width="9" style="5"/>
    <col min="7929" max="7929" width="5.5703125" style="5" customWidth="1"/>
    <col min="7930" max="7930" width="9" style="5"/>
    <col min="7931" max="7931" width="20.7109375" style="5" bestFit="1" customWidth="1"/>
    <col min="7932" max="7932" width="9" style="5"/>
    <col min="7933" max="7933" width="0" style="5" hidden="1" customWidth="1"/>
    <col min="7934" max="7934" width="29.5703125" style="5" customWidth="1"/>
    <col min="7935" max="7935" width="9" style="5" customWidth="1"/>
    <col min="7936" max="8184" width="9" style="5"/>
    <col min="8185" max="8185" width="5.5703125" style="5" customWidth="1"/>
    <col min="8186" max="8186" width="9" style="5"/>
    <col min="8187" max="8187" width="20.7109375" style="5" bestFit="1" customWidth="1"/>
    <col min="8188" max="8188" width="9" style="5"/>
    <col min="8189" max="8189" width="0" style="5" hidden="1" customWidth="1"/>
    <col min="8190" max="8190" width="29.5703125" style="5" customWidth="1"/>
    <col min="8191" max="8191" width="9" style="5" customWidth="1"/>
    <col min="8192" max="8440" width="9" style="5"/>
    <col min="8441" max="8441" width="5.5703125" style="5" customWidth="1"/>
    <col min="8442" max="8442" width="9" style="5"/>
    <col min="8443" max="8443" width="20.7109375" style="5" bestFit="1" customWidth="1"/>
    <col min="8444" max="8444" width="9" style="5"/>
    <col min="8445" max="8445" width="0" style="5" hidden="1" customWidth="1"/>
    <col min="8446" max="8446" width="29.5703125" style="5" customWidth="1"/>
    <col min="8447" max="8447" width="9" style="5" customWidth="1"/>
    <col min="8448" max="8696" width="9" style="5"/>
    <col min="8697" max="8697" width="5.5703125" style="5" customWidth="1"/>
    <col min="8698" max="8698" width="9" style="5"/>
    <col min="8699" max="8699" width="20.7109375" style="5" bestFit="1" customWidth="1"/>
    <col min="8700" max="8700" width="9" style="5"/>
    <col min="8701" max="8701" width="0" style="5" hidden="1" customWidth="1"/>
    <col min="8702" max="8702" width="29.5703125" style="5" customWidth="1"/>
    <col min="8703" max="8703" width="9" style="5" customWidth="1"/>
    <col min="8704" max="8952" width="9" style="5"/>
    <col min="8953" max="8953" width="5.5703125" style="5" customWidth="1"/>
    <col min="8954" max="8954" width="9" style="5"/>
    <col min="8955" max="8955" width="20.7109375" style="5" bestFit="1" customWidth="1"/>
    <col min="8956" max="8956" width="9" style="5"/>
    <col min="8957" max="8957" width="0" style="5" hidden="1" customWidth="1"/>
    <col min="8958" max="8958" width="29.5703125" style="5" customWidth="1"/>
    <col min="8959" max="8959" width="9" style="5" customWidth="1"/>
    <col min="8960" max="9208" width="9" style="5"/>
    <col min="9209" max="9209" width="5.5703125" style="5" customWidth="1"/>
    <col min="9210" max="9210" width="9" style="5"/>
    <col min="9211" max="9211" width="20.7109375" style="5" bestFit="1" customWidth="1"/>
    <col min="9212" max="9212" width="9" style="5"/>
    <col min="9213" max="9213" width="0" style="5" hidden="1" customWidth="1"/>
    <col min="9214" max="9214" width="29.5703125" style="5" customWidth="1"/>
    <col min="9215" max="9215" width="9" style="5" customWidth="1"/>
    <col min="9216" max="9464" width="9" style="5"/>
    <col min="9465" max="9465" width="5.5703125" style="5" customWidth="1"/>
    <col min="9466" max="9466" width="9" style="5"/>
    <col min="9467" max="9467" width="20.7109375" style="5" bestFit="1" customWidth="1"/>
    <col min="9468" max="9468" width="9" style="5"/>
    <col min="9469" max="9469" width="0" style="5" hidden="1" customWidth="1"/>
    <col min="9470" max="9470" width="29.5703125" style="5" customWidth="1"/>
    <col min="9471" max="9471" width="9" style="5" customWidth="1"/>
    <col min="9472" max="9720" width="9" style="5"/>
    <col min="9721" max="9721" width="5.5703125" style="5" customWidth="1"/>
    <col min="9722" max="9722" width="9" style="5"/>
    <col min="9723" max="9723" width="20.7109375" style="5" bestFit="1" customWidth="1"/>
    <col min="9724" max="9724" width="9" style="5"/>
    <col min="9725" max="9725" width="0" style="5" hidden="1" customWidth="1"/>
    <col min="9726" max="9726" width="29.5703125" style="5" customWidth="1"/>
    <col min="9727" max="9727" width="9" style="5" customWidth="1"/>
    <col min="9728" max="9976" width="9" style="5"/>
    <col min="9977" max="9977" width="5.5703125" style="5" customWidth="1"/>
    <col min="9978" max="9978" width="9" style="5"/>
    <col min="9979" max="9979" width="20.7109375" style="5" bestFit="1" customWidth="1"/>
    <col min="9980" max="9980" width="9" style="5"/>
    <col min="9981" max="9981" width="0" style="5" hidden="1" customWidth="1"/>
    <col min="9982" max="9982" width="29.5703125" style="5" customWidth="1"/>
    <col min="9983" max="9983" width="9" style="5" customWidth="1"/>
    <col min="9984" max="10232" width="9" style="5"/>
    <col min="10233" max="10233" width="5.5703125" style="5" customWidth="1"/>
    <col min="10234" max="10234" width="9" style="5"/>
    <col min="10235" max="10235" width="20.7109375" style="5" bestFit="1" customWidth="1"/>
    <col min="10236" max="10236" width="9" style="5"/>
    <col min="10237" max="10237" width="0" style="5" hidden="1" customWidth="1"/>
    <col min="10238" max="10238" width="29.5703125" style="5" customWidth="1"/>
    <col min="10239" max="10239" width="9" style="5" customWidth="1"/>
    <col min="10240" max="10488" width="9" style="5"/>
    <col min="10489" max="10489" width="5.5703125" style="5" customWidth="1"/>
    <col min="10490" max="10490" width="9" style="5"/>
    <col min="10491" max="10491" width="20.7109375" style="5" bestFit="1" customWidth="1"/>
    <col min="10492" max="10492" width="9" style="5"/>
    <col min="10493" max="10493" width="0" style="5" hidden="1" customWidth="1"/>
    <col min="10494" max="10494" width="29.5703125" style="5" customWidth="1"/>
    <col min="10495" max="10495" width="9" style="5" customWidth="1"/>
    <col min="10496" max="10744" width="9" style="5"/>
    <col min="10745" max="10745" width="5.5703125" style="5" customWidth="1"/>
    <col min="10746" max="10746" width="9" style="5"/>
    <col min="10747" max="10747" width="20.7109375" style="5" bestFit="1" customWidth="1"/>
    <col min="10748" max="10748" width="9" style="5"/>
    <col min="10749" max="10749" width="0" style="5" hidden="1" customWidth="1"/>
    <col min="10750" max="10750" width="29.5703125" style="5" customWidth="1"/>
    <col min="10751" max="10751" width="9" style="5" customWidth="1"/>
    <col min="10752" max="11000" width="9" style="5"/>
    <col min="11001" max="11001" width="5.5703125" style="5" customWidth="1"/>
    <col min="11002" max="11002" width="9" style="5"/>
    <col min="11003" max="11003" width="20.7109375" style="5" bestFit="1" customWidth="1"/>
    <col min="11004" max="11004" width="9" style="5"/>
    <col min="11005" max="11005" width="0" style="5" hidden="1" customWidth="1"/>
    <col min="11006" max="11006" width="29.5703125" style="5" customWidth="1"/>
    <col min="11007" max="11007" width="9" style="5" customWidth="1"/>
    <col min="11008" max="11256" width="9" style="5"/>
    <col min="11257" max="11257" width="5.5703125" style="5" customWidth="1"/>
    <col min="11258" max="11258" width="9" style="5"/>
    <col min="11259" max="11259" width="20.7109375" style="5" bestFit="1" customWidth="1"/>
    <col min="11260" max="11260" width="9" style="5"/>
    <col min="11261" max="11261" width="0" style="5" hidden="1" customWidth="1"/>
    <col min="11262" max="11262" width="29.5703125" style="5" customWidth="1"/>
    <col min="11263" max="11263" width="9" style="5" customWidth="1"/>
    <col min="11264" max="11512" width="9" style="5"/>
    <col min="11513" max="11513" width="5.5703125" style="5" customWidth="1"/>
    <col min="11514" max="11514" width="9" style="5"/>
    <col min="11515" max="11515" width="20.7109375" style="5" bestFit="1" customWidth="1"/>
    <col min="11516" max="11516" width="9" style="5"/>
    <col min="11517" max="11517" width="0" style="5" hidden="1" customWidth="1"/>
    <col min="11518" max="11518" width="29.5703125" style="5" customWidth="1"/>
    <col min="11519" max="11519" width="9" style="5" customWidth="1"/>
    <col min="11520" max="11768" width="9" style="5"/>
    <col min="11769" max="11769" width="5.5703125" style="5" customWidth="1"/>
    <col min="11770" max="11770" width="9" style="5"/>
    <col min="11771" max="11771" width="20.7109375" style="5" bestFit="1" customWidth="1"/>
    <col min="11772" max="11772" width="9" style="5"/>
    <col min="11773" max="11773" width="0" style="5" hidden="1" customWidth="1"/>
    <col min="11774" max="11774" width="29.5703125" style="5" customWidth="1"/>
    <col min="11775" max="11775" width="9" style="5" customWidth="1"/>
    <col min="11776" max="12024" width="9" style="5"/>
    <col min="12025" max="12025" width="5.5703125" style="5" customWidth="1"/>
    <col min="12026" max="12026" width="9" style="5"/>
    <col min="12027" max="12027" width="20.7109375" style="5" bestFit="1" customWidth="1"/>
    <col min="12028" max="12028" width="9" style="5"/>
    <col min="12029" max="12029" width="0" style="5" hidden="1" customWidth="1"/>
    <col min="12030" max="12030" width="29.5703125" style="5" customWidth="1"/>
    <col min="12031" max="12031" width="9" style="5" customWidth="1"/>
    <col min="12032" max="12280" width="9" style="5"/>
    <col min="12281" max="12281" width="5.5703125" style="5" customWidth="1"/>
    <col min="12282" max="12282" width="9" style="5"/>
    <col min="12283" max="12283" width="20.7109375" style="5" bestFit="1" customWidth="1"/>
    <col min="12284" max="12284" width="9" style="5"/>
    <col min="12285" max="12285" width="0" style="5" hidden="1" customWidth="1"/>
    <col min="12286" max="12286" width="29.5703125" style="5" customWidth="1"/>
    <col min="12287" max="12287" width="9" style="5" customWidth="1"/>
    <col min="12288" max="12536" width="9" style="5"/>
    <col min="12537" max="12537" width="5.5703125" style="5" customWidth="1"/>
    <col min="12538" max="12538" width="9" style="5"/>
    <col min="12539" max="12539" width="20.7109375" style="5" bestFit="1" customWidth="1"/>
    <col min="12540" max="12540" width="9" style="5"/>
    <col min="12541" max="12541" width="0" style="5" hidden="1" customWidth="1"/>
    <col min="12542" max="12542" width="29.5703125" style="5" customWidth="1"/>
    <col min="12543" max="12543" width="9" style="5" customWidth="1"/>
    <col min="12544" max="12792" width="9" style="5"/>
    <col min="12793" max="12793" width="5.5703125" style="5" customWidth="1"/>
    <col min="12794" max="12794" width="9" style="5"/>
    <col min="12795" max="12795" width="20.7109375" style="5" bestFit="1" customWidth="1"/>
    <col min="12796" max="12796" width="9" style="5"/>
    <col min="12797" max="12797" width="0" style="5" hidden="1" customWidth="1"/>
    <col min="12798" max="12798" width="29.5703125" style="5" customWidth="1"/>
    <col min="12799" max="12799" width="9" style="5" customWidth="1"/>
    <col min="12800" max="13048" width="9" style="5"/>
    <col min="13049" max="13049" width="5.5703125" style="5" customWidth="1"/>
    <col min="13050" max="13050" width="9" style="5"/>
    <col min="13051" max="13051" width="20.7109375" style="5" bestFit="1" customWidth="1"/>
    <col min="13052" max="13052" width="9" style="5"/>
    <col min="13053" max="13053" width="0" style="5" hidden="1" customWidth="1"/>
    <col min="13054" max="13054" width="29.5703125" style="5" customWidth="1"/>
    <col min="13055" max="13055" width="9" style="5" customWidth="1"/>
    <col min="13056" max="13304" width="9" style="5"/>
    <col min="13305" max="13305" width="5.5703125" style="5" customWidth="1"/>
    <col min="13306" max="13306" width="9" style="5"/>
    <col min="13307" max="13307" width="20.7109375" style="5" bestFit="1" customWidth="1"/>
    <col min="13308" max="13308" width="9" style="5"/>
    <col min="13309" max="13309" width="0" style="5" hidden="1" customWidth="1"/>
    <col min="13310" max="13310" width="29.5703125" style="5" customWidth="1"/>
    <col min="13311" max="13311" width="9" style="5" customWidth="1"/>
    <col min="13312" max="13560" width="9" style="5"/>
    <col min="13561" max="13561" width="5.5703125" style="5" customWidth="1"/>
    <col min="13562" max="13562" width="9" style="5"/>
    <col min="13563" max="13563" width="20.7109375" style="5" bestFit="1" customWidth="1"/>
    <col min="13564" max="13564" width="9" style="5"/>
    <col min="13565" max="13565" width="0" style="5" hidden="1" customWidth="1"/>
    <col min="13566" max="13566" width="29.5703125" style="5" customWidth="1"/>
    <col min="13567" max="13567" width="9" style="5" customWidth="1"/>
    <col min="13568" max="13816" width="9" style="5"/>
    <col min="13817" max="13817" width="5.5703125" style="5" customWidth="1"/>
    <col min="13818" max="13818" width="9" style="5"/>
    <col min="13819" max="13819" width="20.7109375" style="5" bestFit="1" customWidth="1"/>
    <col min="13820" max="13820" width="9" style="5"/>
    <col min="13821" max="13821" width="0" style="5" hidden="1" customWidth="1"/>
    <col min="13822" max="13822" width="29.5703125" style="5" customWidth="1"/>
    <col min="13823" max="13823" width="9" style="5" customWidth="1"/>
    <col min="13824" max="14072" width="9" style="5"/>
    <col min="14073" max="14073" width="5.5703125" style="5" customWidth="1"/>
    <col min="14074" max="14074" width="9" style="5"/>
    <col min="14075" max="14075" width="20.7109375" style="5" bestFit="1" customWidth="1"/>
    <col min="14076" max="14076" width="9" style="5"/>
    <col min="14077" max="14077" width="0" style="5" hidden="1" customWidth="1"/>
    <col min="14078" max="14078" width="29.5703125" style="5" customWidth="1"/>
    <col min="14079" max="14079" width="9" style="5" customWidth="1"/>
    <col min="14080" max="14328" width="9" style="5"/>
    <col min="14329" max="14329" width="5.5703125" style="5" customWidth="1"/>
    <col min="14330" max="14330" width="9" style="5"/>
    <col min="14331" max="14331" width="20.7109375" style="5" bestFit="1" customWidth="1"/>
    <col min="14332" max="14332" width="9" style="5"/>
    <col min="14333" max="14333" width="0" style="5" hidden="1" customWidth="1"/>
    <col min="14334" max="14334" width="29.5703125" style="5" customWidth="1"/>
    <col min="14335" max="14335" width="9" style="5" customWidth="1"/>
    <col min="14336" max="14584" width="9" style="5"/>
    <col min="14585" max="14585" width="5.5703125" style="5" customWidth="1"/>
    <col min="14586" max="14586" width="9" style="5"/>
    <col min="14587" max="14587" width="20.7109375" style="5" bestFit="1" customWidth="1"/>
    <col min="14588" max="14588" width="9" style="5"/>
    <col min="14589" max="14589" width="0" style="5" hidden="1" customWidth="1"/>
    <col min="14590" max="14590" width="29.5703125" style="5" customWidth="1"/>
    <col min="14591" max="14591" width="9" style="5" customWidth="1"/>
    <col min="14592" max="14840" width="9" style="5"/>
    <col min="14841" max="14841" width="5.5703125" style="5" customWidth="1"/>
    <col min="14842" max="14842" width="9" style="5"/>
    <col min="14843" max="14843" width="20.7109375" style="5" bestFit="1" customWidth="1"/>
    <col min="14844" max="14844" width="9" style="5"/>
    <col min="14845" max="14845" width="0" style="5" hidden="1" customWidth="1"/>
    <col min="14846" max="14846" width="29.5703125" style="5" customWidth="1"/>
    <col min="14847" max="14847" width="9" style="5" customWidth="1"/>
    <col min="14848" max="15096" width="9" style="5"/>
    <col min="15097" max="15097" width="5.5703125" style="5" customWidth="1"/>
    <col min="15098" max="15098" width="9" style="5"/>
    <col min="15099" max="15099" width="20.7109375" style="5" bestFit="1" customWidth="1"/>
    <col min="15100" max="15100" width="9" style="5"/>
    <col min="15101" max="15101" width="0" style="5" hidden="1" customWidth="1"/>
    <col min="15102" max="15102" width="29.5703125" style="5" customWidth="1"/>
    <col min="15103" max="15103" width="9" style="5" customWidth="1"/>
    <col min="15104" max="15352" width="9" style="5"/>
    <col min="15353" max="15353" width="5.5703125" style="5" customWidth="1"/>
    <col min="15354" max="15354" width="9" style="5"/>
    <col min="15355" max="15355" width="20.7109375" style="5" bestFit="1" customWidth="1"/>
    <col min="15356" max="15356" width="9" style="5"/>
    <col min="15357" max="15357" width="0" style="5" hidden="1" customWidth="1"/>
    <col min="15358" max="15358" width="29.5703125" style="5" customWidth="1"/>
    <col min="15359" max="15359" width="9" style="5" customWidth="1"/>
    <col min="15360" max="15608" width="9" style="5"/>
    <col min="15609" max="15609" width="5.5703125" style="5" customWidth="1"/>
    <col min="15610" max="15610" width="9" style="5"/>
    <col min="15611" max="15611" width="20.7109375" style="5" bestFit="1" customWidth="1"/>
    <col min="15612" max="15612" width="9" style="5"/>
    <col min="15613" max="15613" width="0" style="5" hidden="1" customWidth="1"/>
    <col min="15614" max="15614" width="29.5703125" style="5" customWidth="1"/>
    <col min="15615" max="15615" width="9" style="5" customWidth="1"/>
    <col min="15616" max="15864" width="9" style="5"/>
    <col min="15865" max="15865" width="5.5703125" style="5" customWidth="1"/>
    <col min="15866" max="15866" width="9" style="5"/>
    <col min="15867" max="15867" width="20.7109375" style="5" bestFit="1" customWidth="1"/>
    <col min="15868" max="15868" width="9" style="5"/>
    <col min="15869" max="15869" width="0" style="5" hidden="1" customWidth="1"/>
    <col min="15870" max="15870" width="29.5703125" style="5" customWidth="1"/>
    <col min="15871" max="15871" width="9" style="5" customWidth="1"/>
    <col min="15872" max="16120" width="9" style="5"/>
    <col min="16121" max="16121" width="5.5703125" style="5" customWidth="1"/>
    <col min="16122" max="16122" width="9" style="5"/>
    <col min="16123" max="16123" width="20.7109375" style="5" bestFit="1" customWidth="1"/>
    <col min="16124" max="16124" width="9" style="5"/>
    <col min="16125" max="16125" width="0" style="5" hidden="1" customWidth="1"/>
    <col min="16126" max="16126" width="29.5703125" style="5" customWidth="1"/>
    <col min="16127" max="16127" width="9" style="5" customWidth="1"/>
    <col min="16128" max="16384" width="9" style="5"/>
  </cols>
  <sheetData>
    <row r="1" spans="3:8" ht="13.5" customHeight="1">
      <c r="C1" s="2"/>
      <c r="D1" s="3"/>
      <c r="E1" s="4"/>
      <c r="F1" s="4"/>
    </row>
    <row r="2" spans="3:8" ht="13.5" customHeight="1">
      <c r="C2" s="6" t="s">
        <v>15</v>
      </c>
      <c r="D2" s="7" t="s">
        <v>16</v>
      </c>
      <c r="E2" s="8" t="s">
        <v>17</v>
      </c>
      <c r="F2" s="9" t="s">
        <v>18</v>
      </c>
      <c r="G2" s="10" t="s">
        <v>19</v>
      </c>
    </row>
    <row r="3" spans="3:8" ht="13.5" customHeight="1">
      <c r="C3" s="12">
        <v>7532</v>
      </c>
      <c r="D3" s="13" t="s">
        <v>0</v>
      </c>
      <c r="E3" s="14" t="s">
        <v>20</v>
      </c>
      <c r="F3" s="15" t="s">
        <v>21</v>
      </c>
      <c r="G3" s="16" t="s">
        <v>14</v>
      </c>
      <c r="H3" s="5" t="s">
        <v>125</v>
      </c>
    </row>
    <row r="4" spans="3:8" ht="13.5" customHeight="1">
      <c r="C4" s="17">
        <v>2685</v>
      </c>
      <c r="D4" s="18" t="s">
        <v>22</v>
      </c>
      <c r="E4" s="19" t="s">
        <v>23</v>
      </c>
      <c r="F4" s="20" t="s">
        <v>24</v>
      </c>
      <c r="G4" s="21" t="s">
        <v>11</v>
      </c>
    </row>
    <row r="5" spans="3:8" ht="13.5" customHeight="1">
      <c r="C5" s="17">
        <v>2726</v>
      </c>
      <c r="D5" s="18" t="s">
        <v>25</v>
      </c>
      <c r="E5" s="19" t="s">
        <v>23</v>
      </c>
      <c r="F5" s="20" t="s">
        <v>129</v>
      </c>
      <c r="G5" s="21" t="s">
        <v>7</v>
      </c>
    </row>
    <row r="6" spans="3:8" ht="13.5" customHeight="1">
      <c r="C6" s="17">
        <v>2792</v>
      </c>
      <c r="D6" s="18" t="s">
        <v>26</v>
      </c>
      <c r="E6" s="19" t="s">
        <v>23</v>
      </c>
      <c r="F6" s="20" t="s">
        <v>24</v>
      </c>
      <c r="G6" s="21" t="s">
        <v>8</v>
      </c>
    </row>
    <row r="7" spans="3:8" ht="13.5" customHeight="1">
      <c r="C7" s="17">
        <v>3415</v>
      </c>
      <c r="D7" s="18" t="s">
        <v>112</v>
      </c>
      <c r="E7" s="19" t="s">
        <v>23</v>
      </c>
      <c r="F7" s="20" t="s">
        <v>24</v>
      </c>
      <c r="G7" s="21" t="s">
        <v>7</v>
      </c>
    </row>
    <row r="8" spans="3:8" ht="13.5" customHeight="1">
      <c r="C8" s="17">
        <v>3548</v>
      </c>
      <c r="D8" s="18" t="s">
        <v>27</v>
      </c>
      <c r="E8" s="19" t="s">
        <v>23</v>
      </c>
      <c r="F8" s="20" t="s">
        <v>24</v>
      </c>
      <c r="G8" s="21" t="s">
        <v>28</v>
      </c>
    </row>
    <row r="9" spans="3:8" ht="13.5" customHeight="1">
      <c r="C9" s="17">
        <v>5892</v>
      </c>
      <c r="D9" s="18" t="s">
        <v>132</v>
      </c>
      <c r="E9" s="19" t="s">
        <v>23</v>
      </c>
      <c r="F9" s="20" t="s">
        <v>133</v>
      </c>
      <c r="G9" s="21" t="s">
        <v>134</v>
      </c>
    </row>
    <row r="10" spans="3:8" ht="13.5" customHeight="1">
      <c r="C10" s="17">
        <v>7445</v>
      </c>
      <c r="D10" s="18" t="s">
        <v>29</v>
      </c>
      <c r="E10" s="19" t="s">
        <v>23</v>
      </c>
      <c r="F10" s="20" t="s">
        <v>24</v>
      </c>
      <c r="G10" s="21" t="s">
        <v>11</v>
      </c>
    </row>
    <row r="11" spans="3:8" ht="13.5" customHeight="1">
      <c r="C11" s="17">
        <v>7545</v>
      </c>
      <c r="D11" s="18" t="s">
        <v>30</v>
      </c>
      <c r="E11" s="19" t="s">
        <v>23</v>
      </c>
      <c r="F11" s="20" t="s">
        <v>123</v>
      </c>
      <c r="G11" s="21" t="s">
        <v>11</v>
      </c>
    </row>
    <row r="12" spans="3:8" ht="13.5" customHeight="1">
      <c r="C12" s="17">
        <v>7606</v>
      </c>
      <c r="D12" s="18" t="s">
        <v>31</v>
      </c>
      <c r="E12" s="19" t="s">
        <v>23</v>
      </c>
      <c r="F12" s="20" t="s">
        <v>24</v>
      </c>
      <c r="G12" s="21" t="s">
        <v>11</v>
      </c>
    </row>
    <row r="13" spans="3:8" ht="13.5" customHeight="1">
      <c r="C13" s="17">
        <v>8214</v>
      </c>
      <c r="D13" s="18" t="s">
        <v>32</v>
      </c>
      <c r="E13" s="19" t="s">
        <v>23</v>
      </c>
      <c r="F13" s="20" t="s">
        <v>33</v>
      </c>
      <c r="G13" s="21" t="s">
        <v>7</v>
      </c>
    </row>
    <row r="14" spans="3:8" ht="13.5" customHeight="1">
      <c r="C14" s="17">
        <v>8219</v>
      </c>
      <c r="D14" s="18" t="s">
        <v>34</v>
      </c>
      <c r="E14" s="19" t="s">
        <v>23</v>
      </c>
      <c r="F14" s="20" t="s">
        <v>67</v>
      </c>
      <c r="G14" s="21" t="s">
        <v>11</v>
      </c>
    </row>
    <row r="15" spans="3:8" ht="13.5" customHeight="1">
      <c r="C15" s="17">
        <v>8227</v>
      </c>
      <c r="D15" s="18" t="s">
        <v>35</v>
      </c>
      <c r="E15" s="19" t="s">
        <v>23</v>
      </c>
      <c r="F15" s="20" t="s">
        <v>36</v>
      </c>
      <c r="G15" s="21" t="s">
        <v>7</v>
      </c>
    </row>
    <row r="16" spans="3:8" ht="13.5" customHeight="1">
      <c r="C16" s="12">
        <v>9983</v>
      </c>
      <c r="D16" s="13" t="s">
        <v>37</v>
      </c>
      <c r="E16" s="14" t="s">
        <v>23</v>
      </c>
      <c r="F16" s="15" t="s">
        <v>24</v>
      </c>
      <c r="G16" s="16" t="s">
        <v>7</v>
      </c>
    </row>
    <row r="17" spans="3:8" ht="13.15" customHeight="1">
      <c r="C17" s="17">
        <v>3591</v>
      </c>
      <c r="D17" s="18" t="s">
        <v>118</v>
      </c>
      <c r="E17" s="19" t="s">
        <v>38</v>
      </c>
      <c r="F17" s="20" t="s">
        <v>124</v>
      </c>
      <c r="G17" s="21" t="s">
        <v>39</v>
      </c>
      <c r="H17" s="5" t="s">
        <v>130</v>
      </c>
    </row>
    <row r="18" spans="3:8" ht="13.5" customHeight="1">
      <c r="C18" s="17">
        <v>3608</v>
      </c>
      <c r="D18" s="18" t="s">
        <v>40</v>
      </c>
      <c r="E18" s="19" t="s">
        <v>41</v>
      </c>
      <c r="F18" s="20" t="s">
        <v>47</v>
      </c>
      <c r="G18" s="21" t="s">
        <v>11</v>
      </c>
    </row>
    <row r="19" spans="3:8" ht="13.5" customHeight="1">
      <c r="C19" s="17">
        <v>3612</v>
      </c>
      <c r="D19" s="18" t="s">
        <v>43</v>
      </c>
      <c r="E19" s="19" t="s">
        <v>41</v>
      </c>
      <c r="F19" s="20" t="s">
        <v>44</v>
      </c>
      <c r="G19" s="21" t="s">
        <v>11</v>
      </c>
    </row>
    <row r="20" spans="3:8" ht="13.5" customHeight="1">
      <c r="C20" s="17">
        <v>8011</v>
      </c>
      <c r="D20" s="18" t="s">
        <v>45</v>
      </c>
      <c r="E20" s="19" t="s">
        <v>41</v>
      </c>
      <c r="F20" s="20" t="s">
        <v>42</v>
      </c>
      <c r="G20" s="21" t="s">
        <v>7</v>
      </c>
    </row>
    <row r="21" spans="3:8" ht="13.5" customHeight="1">
      <c r="C21" s="12">
        <v>8016</v>
      </c>
      <c r="D21" s="13" t="s">
        <v>46</v>
      </c>
      <c r="E21" s="14" t="s">
        <v>41</v>
      </c>
      <c r="F21" s="15" t="s">
        <v>47</v>
      </c>
      <c r="G21" s="16" t="s">
        <v>48</v>
      </c>
      <c r="H21" s="5" t="s">
        <v>126</v>
      </c>
    </row>
    <row r="22" spans="3:8" ht="13.5" customHeight="1">
      <c r="C22" s="17">
        <v>2730</v>
      </c>
      <c r="D22" s="18" t="s">
        <v>49</v>
      </c>
      <c r="E22" s="19" t="s">
        <v>50</v>
      </c>
      <c r="F22" s="20" t="s">
        <v>127</v>
      </c>
      <c r="G22" s="21" t="s">
        <v>14</v>
      </c>
      <c r="H22" s="5" t="s">
        <v>126</v>
      </c>
    </row>
    <row r="23" spans="3:8" ht="13.5" customHeight="1">
      <c r="C23" s="17">
        <v>3048</v>
      </c>
      <c r="D23" s="18" t="s">
        <v>52</v>
      </c>
      <c r="E23" s="19" t="s">
        <v>50</v>
      </c>
      <c r="F23" s="20" t="s">
        <v>77</v>
      </c>
      <c r="G23" s="21" t="s">
        <v>14</v>
      </c>
    </row>
    <row r="24" spans="3:8" ht="13.5" customHeight="1">
      <c r="C24" s="17">
        <v>7513</v>
      </c>
      <c r="D24" s="18" t="s">
        <v>53</v>
      </c>
      <c r="E24" s="19" t="s">
        <v>50</v>
      </c>
      <c r="F24" s="20" t="s">
        <v>77</v>
      </c>
      <c r="G24" s="21" t="s">
        <v>6</v>
      </c>
    </row>
    <row r="25" spans="3:8" ht="13.5" customHeight="1">
      <c r="C25" s="17">
        <v>8282</v>
      </c>
      <c r="D25" s="18" t="s">
        <v>54</v>
      </c>
      <c r="E25" s="19" t="s">
        <v>50</v>
      </c>
      <c r="F25" s="20" t="s">
        <v>64</v>
      </c>
      <c r="G25" s="21" t="s">
        <v>14</v>
      </c>
    </row>
    <row r="26" spans="3:8" ht="13.5" customHeight="1">
      <c r="C26" s="12">
        <v>9843</v>
      </c>
      <c r="D26" s="13" t="s">
        <v>119</v>
      </c>
      <c r="E26" s="14" t="s">
        <v>55</v>
      </c>
      <c r="F26" s="15" t="s">
        <v>24</v>
      </c>
      <c r="G26" s="16" t="s">
        <v>5</v>
      </c>
    </row>
    <row r="27" spans="3:8" ht="13.5" customHeight="1">
      <c r="C27" s="17">
        <v>2790</v>
      </c>
      <c r="D27" s="18" t="s">
        <v>56</v>
      </c>
      <c r="E27" s="19" t="s">
        <v>1</v>
      </c>
      <c r="F27" s="20" t="s">
        <v>77</v>
      </c>
      <c r="G27" s="21" t="s">
        <v>9</v>
      </c>
    </row>
    <row r="28" spans="3:8" ht="13.5" customHeight="1">
      <c r="C28" s="17">
        <v>3050</v>
      </c>
      <c r="D28" s="18" t="s">
        <v>57</v>
      </c>
      <c r="E28" s="19" t="s">
        <v>1</v>
      </c>
      <c r="F28" s="20" t="s">
        <v>77</v>
      </c>
      <c r="G28" s="21" t="s">
        <v>6</v>
      </c>
    </row>
    <row r="29" spans="3:8" ht="13.5" customHeight="1">
      <c r="C29" s="17">
        <v>3191</v>
      </c>
      <c r="D29" s="18" t="s">
        <v>58</v>
      </c>
      <c r="E29" s="19" t="s">
        <v>2</v>
      </c>
      <c r="F29" s="20" t="s">
        <v>47</v>
      </c>
      <c r="G29" s="21" t="s">
        <v>6</v>
      </c>
    </row>
    <row r="30" spans="3:8" ht="13.5" customHeight="1">
      <c r="C30" s="17">
        <v>3564</v>
      </c>
      <c r="D30" s="18" t="s">
        <v>120</v>
      </c>
      <c r="E30" s="19" t="s">
        <v>2</v>
      </c>
      <c r="F30" s="20" t="s">
        <v>51</v>
      </c>
      <c r="G30" s="21" t="s">
        <v>7</v>
      </c>
    </row>
    <row r="31" spans="3:8" ht="13.5" customHeight="1">
      <c r="C31" s="17">
        <v>7516</v>
      </c>
      <c r="D31" s="18" t="s">
        <v>59</v>
      </c>
      <c r="E31" s="19" t="s">
        <v>1</v>
      </c>
      <c r="F31" s="20" t="s">
        <v>51</v>
      </c>
      <c r="G31" s="21" t="s">
        <v>60</v>
      </c>
    </row>
    <row r="32" spans="3:8" ht="13.5" customHeight="1">
      <c r="C32" s="17">
        <v>7636</v>
      </c>
      <c r="D32" s="18" t="s">
        <v>61</v>
      </c>
      <c r="E32" s="19" t="s">
        <v>3</v>
      </c>
      <c r="F32" s="20" t="s">
        <v>51</v>
      </c>
      <c r="G32" s="21" t="s">
        <v>11</v>
      </c>
    </row>
    <row r="33" spans="3:8" ht="13.5" customHeight="1">
      <c r="C33" s="17">
        <v>8168</v>
      </c>
      <c r="D33" s="18" t="s">
        <v>62</v>
      </c>
      <c r="E33" s="19" t="s">
        <v>3</v>
      </c>
      <c r="F33" s="20" t="s">
        <v>51</v>
      </c>
      <c r="G33" s="21" t="s">
        <v>14</v>
      </c>
    </row>
    <row r="34" spans="3:8" ht="13.5" customHeight="1">
      <c r="C34" s="17">
        <v>8218</v>
      </c>
      <c r="D34" s="18" t="s">
        <v>63</v>
      </c>
      <c r="E34" s="19" t="s">
        <v>3</v>
      </c>
      <c r="F34" s="20" t="s">
        <v>64</v>
      </c>
      <c r="G34" s="21" t="s">
        <v>14</v>
      </c>
    </row>
    <row r="35" spans="3:8" ht="13.5" customHeight="1">
      <c r="C35" s="22">
        <v>9832</v>
      </c>
      <c r="D35" s="23" t="s">
        <v>65</v>
      </c>
      <c r="E35" s="24" t="s">
        <v>66</v>
      </c>
      <c r="F35" s="25" t="s">
        <v>67</v>
      </c>
      <c r="G35" s="26" t="s">
        <v>11</v>
      </c>
    </row>
    <row r="36" spans="3:8" ht="13.5" customHeight="1">
      <c r="C36" s="17">
        <v>2664</v>
      </c>
      <c r="D36" s="18" t="s">
        <v>68</v>
      </c>
      <c r="E36" s="19" t="s">
        <v>69</v>
      </c>
      <c r="F36" s="20" t="s">
        <v>64</v>
      </c>
      <c r="G36" s="21" t="s">
        <v>7</v>
      </c>
    </row>
    <row r="37" spans="3:8" ht="13.5" customHeight="1">
      <c r="C37" s="17">
        <v>3034</v>
      </c>
      <c r="D37" s="18" t="s">
        <v>121</v>
      </c>
      <c r="E37" s="19" t="s">
        <v>69</v>
      </c>
      <c r="F37" s="20" t="s">
        <v>70</v>
      </c>
      <c r="G37" s="21" t="s">
        <v>14</v>
      </c>
    </row>
    <row r="38" spans="3:8" ht="13.5" customHeight="1">
      <c r="C38" s="17">
        <v>3088</v>
      </c>
      <c r="D38" s="18" t="s">
        <v>113</v>
      </c>
      <c r="E38" s="19" t="s">
        <v>69</v>
      </c>
      <c r="F38" s="20" t="s">
        <v>71</v>
      </c>
      <c r="G38" s="21" t="s">
        <v>14</v>
      </c>
    </row>
    <row r="39" spans="3:8" ht="13.5" customHeight="1">
      <c r="C39" s="17">
        <v>3141</v>
      </c>
      <c r="D39" s="18" t="s">
        <v>73</v>
      </c>
      <c r="E39" s="19" t="s">
        <v>69</v>
      </c>
      <c r="F39" s="20" t="s">
        <v>128</v>
      </c>
      <c r="G39" s="21" t="s">
        <v>7</v>
      </c>
    </row>
    <row r="40" spans="3:8">
      <c r="C40" s="17">
        <v>3148</v>
      </c>
      <c r="D40" s="18" t="s">
        <v>74</v>
      </c>
      <c r="E40" s="19" t="s">
        <v>69</v>
      </c>
      <c r="F40" s="20" t="s">
        <v>75</v>
      </c>
      <c r="G40" s="21" t="s">
        <v>7</v>
      </c>
    </row>
    <row r="41" spans="3:8" ht="13.5" customHeight="1">
      <c r="C41" s="17">
        <v>3349</v>
      </c>
      <c r="D41" s="18" t="s">
        <v>76</v>
      </c>
      <c r="E41" s="19" t="s">
        <v>69</v>
      </c>
      <c r="F41" s="20" t="s">
        <v>77</v>
      </c>
      <c r="G41" s="21" t="s">
        <v>7</v>
      </c>
    </row>
    <row r="42" spans="3:8" ht="13.5" customHeight="1">
      <c r="C42" s="17">
        <v>3391</v>
      </c>
      <c r="D42" s="18" t="s">
        <v>78</v>
      </c>
      <c r="E42" s="19" t="s">
        <v>69</v>
      </c>
      <c r="F42" s="20" t="s">
        <v>128</v>
      </c>
      <c r="G42" s="21" t="s">
        <v>11</v>
      </c>
    </row>
    <row r="43" spans="3:8" ht="13.5" customHeight="1">
      <c r="C43" s="17">
        <v>3549</v>
      </c>
      <c r="D43" s="18" t="s">
        <v>117</v>
      </c>
      <c r="E43" s="19" t="s">
        <v>69</v>
      </c>
      <c r="F43" s="20" t="s">
        <v>114</v>
      </c>
      <c r="G43" s="21" t="s">
        <v>11</v>
      </c>
    </row>
    <row r="44" spans="3:8" ht="13.5" customHeight="1">
      <c r="C44" s="17">
        <v>7649</v>
      </c>
      <c r="D44" s="18" t="s">
        <v>80</v>
      </c>
      <c r="E44" s="19" t="s">
        <v>69</v>
      </c>
      <c r="F44" s="20" t="s">
        <v>70</v>
      </c>
      <c r="G44" s="21" t="s">
        <v>12</v>
      </c>
    </row>
    <row r="45" spans="3:8">
      <c r="C45" s="17">
        <v>7679</v>
      </c>
      <c r="D45" s="18" t="s">
        <v>116</v>
      </c>
      <c r="E45" s="19" t="s">
        <v>69</v>
      </c>
      <c r="F45" s="20" t="s">
        <v>72</v>
      </c>
      <c r="G45" s="21" t="s">
        <v>11</v>
      </c>
    </row>
    <row r="46" spans="3:8" ht="13.5" customHeight="1">
      <c r="C46" s="17">
        <v>9267</v>
      </c>
      <c r="D46" s="18" t="s">
        <v>81</v>
      </c>
      <c r="E46" s="19" t="s">
        <v>69</v>
      </c>
      <c r="F46" s="20" t="s">
        <v>79</v>
      </c>
      <c r="G46" s="21" t="s">
        <v>11</v>
      </c>
    </row>
    <row r="47" spans="3:8" ht="13.5" customHeight="1" collapsed="1">
      <c r="C47" s="17">
        <v>9627</v>
      </c>
      <c r="D47" s="18" t="s">
        <v>82</v>
      </c>
      <c r="E47" s="19" t="s">
        <v>69</v>
      </c>
      <c r="F47" s="20" t="s">
        <v>131</v>
      </c>
      <c r="G47" s="21" t="s">
        <v>83</v>
      </c>
      <c r="H47" s="5" t="s">
        <v>115</v>
      </c>
    </row>
    <row r="48" spans="3:8" ht="13.5" customHeight="1">
      <c r="C48" s="12">
        <v>9989</v>
      </c>
      <c r="D48" s="13" t="s">
        <v>84</v>
      </c>
      <c r="E48" s="14" t="s">
        <v>69</v>
      </c>
      <c r="F48" s="15" t="s">
        <v>47</v>
      </c>
      <c r="G48" s="16" t="s">
        <v>83</v>
      </c>
    </row>
    <row r="49" spans="3:8" ht="13.5" customHeight="1">
      <c r="C49" s="17" t="s">
        <v>136</v>
      </c>
      <c r="D49" s="18" t="s">
        <v>137</v>
      </c>
      <c r="E49" s="19" t="s">
        <v>85</v>
      </c>
      <c r="F49" s="20" t="s">
        <v>86</v>
      </c>
      <c r="G49" s="21" t="s">
        <v>138</v>
      </c>
    </row>
    <row r="50" spans="3:8" ht="13.5" customHeight="1">
      <c r="C50" s="17">
        <v>3046</v>
      </c>
      <c r="D50" s="18" t="s">
        <v>135</v>
      </c>
      <c r="E50" s="19" t="s">
        <v>85</v>
      </c>
      <c r="F50" s="20" t="s">
        <v>47</v>
      </c>
      <c r="G50" s="21" t="s">
        <v>12</v>
      </c>
    </row>
    <row r="51" spans="3:8" ht="13.5" customHeight="1">
      <c r="C51" s="12">
        <v>8008</v>
      </c>
      <c r="D51" s="13" t="s">
        <v>87</v>
      </c>
      <c r="E51" s="14" t="s">
        <v>85</v>
      </c>
      <c r="F51" s="15" t="s">
        <v>88</v>
      </c>
      <c r="G51" s="16" t="s">
        <v>6</v>
      </c>
    </row>
    <row r="52" spans="3:8" ht="13.5" customHeight="1">
      <c r="C52" s="17">
        <v>3028</v>
      </c>
      <c r="D52" s="18" t="s">
        <v>89</v>
      </c>
      <c r="E52" s="19" t="s">
        <v>90</v>
      </c>
      <c r="F52" s="20" t="s">
        <v>47</v>
      </c>
      <c r="G52" s="21" t="s">
        <v>7</v>
      </c>
    </row>
    <row r="53" spans="3:8" ht="13.5" customHeight="1">
      <c r="C53" s="17">
        <v>7514</v>
      </c>
      <c r="D53" s="18" t="s">
        <v>91</v>
      </c>
      <c r="E53" s="19" t="s">
        <v>90</v>
      </c>
      <c r="F53" s="20" t="s">
        <v>47</v>
      </c>
      <c r="G53" s="21" t="s">
        <v>14</v>
      </c>
    </row>
    <row r="54" spans="3:8" ht="13.5" customHeight="1">
      <c r="C54" s="17">
        <v>8281</v>
      </c>
      <c r="D54" s="18" t="s">
        <v>92</v>
      </c>
      <c r="E54" s="19" t="s">
        <v>90</v>
      </c>
      <c r="F54" s="20" t="s">
        <v>47</v>
      </c>
      <c r="G54" s="21" t="s">
        <v>10</v>
      </c>
    </row>
    <row r="55" spans="3:8" ht="13.5" customHeight="1">
      <c r="C55" s="27">
        <v>2670</v>
      </c>
      <c r="D55" s="28" t="s">
        <v>93</v>
      </c>
      <c r="E55" s="29" t="s">
        <v>94</v>
      </c>
      <c r="F55" s="30" t="s">
        <v>110</v>
      </c>
      <c r="G55" s="31" t="s">
        <v>108</v>
      </c>
      <c r="H55" s="5" t="s">
        <v>109</v>
      </c>
    </row>
    <row r="56" spans="3:8" ht="13.5" customHeight="1">
      <c r="C56" s="17">
        <v>2686</v>
      </c>
      <c r="D56" s="18" t="s">
        <v>95</v>
      </c>
      <c r="E56" s="19" t="s">
        <v>94</v>
      </c>
      <c r="F56" s="20" t="s">
        <v>96</v>
      </c>
      <c r="G56" s="21" t="s">
        <v>11</v>
      </c>
    </row>
    <row r="57" spans="3:8" ht="13.5" customHeight="1">
      <c r="C57" s="12">
        <v>8185</v>
      </c>
      <c r="D57" s="13" t="s">
        <v>97</v>
      </c>
      <c r="E57" s="14" t="s">
        <v>94</v>
      </c>
      <c r="F57" s="15" t="s">
        <v>139</v>
      </c>
      <c r="G57" s="16" t="s">
        <v>6</v>
      </c>
    </row>
    <row r="58" spans="3:8" ht="13.5" customHeight="1">
      <c r="C58" s="17">
        <v>2678</v>
      </c>
      <c r="D58" s="18" t="s">
        <v>98</v>
      </c>
      <c r="E58" s="19" t="s">
        <v>20</v>
      </c>
      <c r="F58" s="20" t="s">
        <v>79</v>
      </c>
      <c r="G58" s="21" t="s">
        <v>11</v>
      </c>
    </row>
    <row r="59" spans="3:8" ht="13.5" customHeight="1">
      <c r="C59" s="17">
        <v>2782</v>
      </c>
      <c r="D59" s="18" t="s">
        <v>99</v>
      </c>
      <c r="E59" s="19" t="s">
        <v>20</v>
      </c>
      <c r="F59" s="20" t="s">
        <v>100</v>
      </c>
      <c r="G59" s="21" t="s">
        <v>11</v>
      </c>
    </row>
    <row r="60" spans="3:8" ht="13.5" customHeight="1">
      <c r="C60" s="17">
        <v>3064</v>
      </c>
      <c r="D60" s="18" t="s">
        <v>4</v>
      </c>
      <c r="E60" s="19" t="s">
        <v>20</v>
      </c>
      <c r="F60" s="20" t="s">
        <v>101</v>
      </c>
      <c r="G60" s="21" t="s">
        <v>13</v>
      </c>
    </row>
    <row r="61" spans="3:8" ht="13.5" customHeight="1">
      <c r="C61" s="17">
        <v>3333</v>
      </c>
      <c r="D61" s="18" t="s">
        <v>102</v>
      </c>
      <c r="E61" s="19" t="s">
        <v>20</v>
      </c>
      <c r="F61" s="20" t="s">
        <v>100</v>
      </c>
      <c r="G61" s="21" t="s">
        <v>11</v>
      </c>
    </row>
    <row r="62" spans="3:8" ht="13.5" customHeight="1">
      <c r="C62" s="17">
        <v>7453</v>
      </c>
      <c r="D62" s="18" t="s">
        <v>103</v>
      </c>
      <c r="E62" s="19" t="s">
        <v>20</v>
      </c>
      <c r="F62" s="20" t="s">
        <v>24</v>
      </c>
      <c r="G62" s="21" t="s">
        <v>7</v>
      </c>
      <c r="H62" s="5" t="s">
        <v>111</v>
      </c>
    </row>
    <row r="63" spans="3:8">
      <c r="C63" s="17">
        <v>7564</v>
      </c>
      <c r="D63" s="18" t="s">
        <v>104</v>
      </c>
      <c r="E63" s="19" t="s">
        <v>20</v>
      </c>
      <c r="F63" s="20" t="s">
        <v>64</v>
      </c>
      <c r="G63" s="21" t="s">
        <v>11</v>
      </c>
    </row>
    <row r="64" spans="3:8" ht="13.5" customHeight="1">
      <c r="C64" s="17">
        <v>9990</v>
      </c>
      <c r="D64" s="18" t="s">
        <v>122</v>
      </c>
      <c r="E64" s="19" t="s">
        <v>20</v>
      </c>
      <c r="F64" s="20" t="s">
        <v>105</v>
      </c>
      <c r="G64" s="21" t="s">
        <v>11</v>
      </c>
    </row>
    <row r="65" spans="3:7" ht="13.5" customHeight="1">
      <c r="C65" s="12">
        <v>9997</v>
      </c>
      <c r="D65" s="13" t="s">
        <v>106</v>
      </c>
      <c r="E65" s="14" t="s">
        <v>20</v>
      </c>
      <c r="F65" s="15" t="s">
        <v>107</v>
      </c>
      <c r="G65" s="16" t="s">
        <v>6</v>
      </c>
    </row>
    <row r="66" spans="3:7">
      <c r="C66" s="11">
        <v>2726</v>
      </c>
      <c r="D66" s="32" t="s">
        <v>140</v>
      </c>
      <c r="F66" s="5" t="s">
        <v>141</v>
      </c>
    </row>
  </sheetData>
  <phoneticPr fontId="2"/>
  <pageMargins left="0.74803149606299213" right="0.74803149606299213" top="0.98425196850393704" bottom="0.98425196850393704" header="0.51181102362204722" footer="0.51181102362204722"/>
  <pageSetup paperSize="9" scale="70" fitToWidth="0" orientation="portrait" verticalDpi="1200" r:id="rId1"/>
  <headerFooter alignWithMargins="0"/>
  <rowBreaks count="1" manualBreakCount="1">
    <brk id="3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0F163-72D4-4EE0-9CCC-689B5A816B9F}">
  <dimension ref="A1:B65"/>
  <sheetViews>
    <sheetView tabSelected="1" workbookViewId="0">
      <selection activeCell="V54" sqref="V54"/>
    </sheetView>
  </sheetViews>
  <sheetFormatPr defaultRowHeight="15"/>
  <cols>
    <col min="1" max="1" width="34" customWidth="1"/>
  </cols>
  <sheetData>
    <row r="1" spans="1:2">
      <c r="A1" t="s">
        <v>143</v>
      </c>
      <c r="B1" t="s">
        <v>142</v>
      </c>
    </row>
    <row r="2" spans="1:2">
      <c r="A2" t="str">
        <f>'[1]3Q2026'!$C$2</f>
        <v>Shimamura Co Ltd</v>
      </c>
      <c r="B2" s="12">
        <v>7532</v>
      </c>
    </row>
    <row r="3" spans="1:2">
      <c r="A3" t="str">
        <f>PROPER(_xll.BDP(B3&amp;" JT Equity","NAME"))</f>
        <v>And St Hd Co Ltd</v>
      </c>
      <c r="B3" s="17">
        <v>2685</v>
      </c>
    </row>
    <row r="4" spans="1:2">
      <c r="A4" t="str">
        <f>PROPER(_xll.BDP(B4&amp;" JT Equity","NAME"))</f>
        <v>Pal Group Holdings Co Ltd</v>
      </c>
      <c r="B4" s="17">
        <v>2726</v>
      </c>
    </row>
    <row r="5" spans="1:2">
      <c r="A5" t="str">
        <f>PROPER(_xll.BDP(B5&amp;" JT Equity","NAME"))</f>
        <v>Honeys Holdings Co Ltd</v>
      </c>
      <c r="B5" s="17">
        <v>2792</v>
      </c>
    </row>
    <row r="6" spans="1:2">
      <c r="A6" t="str">
        <f>PROPER(_xll.BDP(B6&amp;" JT Equity","NAME"))</f>
        <v>Tokyo Base Co Ltd</v>
      </c>
      <c r="B6" s="17">
        <v>3415</v>
      </c>
    </row>
    <row r="7" spans="1:2">
      <c r="A7" t="str">
        <f>PROPER(_xll.BDP(B7&amp;" JT Equity","NAME"))</f>
        <v>Baroque Japan Ltd</v>
      </c>
      <c r="B7" s="17">
        <v>3548</v>
      </c>
    </row>
    <row r="8" spans="1:2">
      <c r="A8" t="str">
        <f>PROPER(_xll.BDP(B8&amp;" JT Equity","NAME"))</f>
        <v>Yutori Inc</v>
      </c>
      <c r="B8" s="17">
        <v>5892</v>
      </c>
    </row>
    <row r="9" spans="1:2">
      <c r="A9" t="str">
        <f>PROPER(_xll.BDP(B9&amp;" JT Equity","NAME"))</f>
        <v>Right On Co Ltd</v>
      </c>
      <c r="B9" s="17">
        <v>7445</v>
      </c>
    </row>
    <row r="10" spans="1:2">
      <c r="A10" t="str">
        <f>PROPER(_xll.BDP(B10&amp;" JT Equity","NAME"))</f>
        <v>Nishimatsuya Chain Co Ltd</v>
      </c>
      <c r="B10" s="17">
        <v>7545</v>
      </c>
    </row>
    <row r="11" spans="1:2">
      <c r="A11" t="str">
        <f>PROPER(_xll.BDP(B11&amp;" JT Equity","NAME"))</f>
        <v>United Arrows Ltd</v>
      </c>
      <c r="B11" s="17">
        <v>7606</v>
      </c>
    </row>
    <row r="12" spans="1:2">
      <c r="A12" t="str">
        <f>PROPER(_xll.BDP(B12&amp;" JT Equity","NAME"))</f>
        <v>Aoki Holdings Inc</v>
      </c>
      <c r="B12" s="17">
        <v>8214</v>
      </c>
    </row>
    <row r="13" spans="1:2">
      <c r="A13" t="str">
        <f>PROPER(_xll.BDP(B13&amp;" JT Equity","NAME"))</f>
        <v>Aoyama Trading Co Ltd</v>
      </c>
      <c r="B13" s="17">
        <v>8219</v>
      </c>
    </row>
    <row r="14" spans="1:2">
      <c r="A14" t="str">
        <f>PROPER(_xll.BDP(B14&amp;" JT Equity","NAME"))</f>
        <v>Shimamura Co Ltd</v>
      </c>
      <c r="B14" s="17">
        <v>8227</v>
      </c>
    </row>
    <row r="15" spans="1:2">
      <c r="A15" t="str">
        <f>PROPER(_xll.BDP(B15&amp;" JT Equity","NAME"))</f>
        <v>Fast Retailing Co Ltd</v>
      </c>
      <c r="B15" s="12">
        <v>9983</v>
      </c>
    </row>
    <row r="16" spans="1:2">
      <c r="A16" t="str">
        <f>PROPER(_xll.BDP(B16&amp;" JT Equity","NAME"))</f>
        <v>Wacoal Holdings Corp</v>
      </c>
      <c r="B16" s="17">
        <v>3591</v>
      </c>
    </row>
    <row r="17" spans="1:2">
      <c r="A17" t="str">
        <f>PROPER(_xll.BDP(B17&amp;" JT Equity","NAME"))</f>
        <v>Tsi Holdings Co Ltd</v>
      </c>
      <c r="B17" s="17">
        <v>3608</v>
      </c>
    </row>
    <row r="18" spans="1:2">
      <c r="A18" t="str">
        <f>PROPER(_xll.BDP(B18&amp;" JT Equity","NAME"))</f>
        <v>World Co Ltd</v>
      </c>
      <c r="B18" s="17">
        <v>3612</v>
      </c>
    </row>
    <row r="19" spans="1:2">
      <c r="A19" t="str">
        <f>PROPER(_xll.BDP(B19&amp;" JT Equity","NAME"))</f>
        <v>Sanyo Shokai Ltd</v>
      </c>
      <c r="B19" s="17">
        <v>8011</v>
      </c>
    </row>
    <row r="20" spans="1:2">
      <c r="A20" t="str">
        <f>PROPER(_xll.BDP(B20&amp;" JT Equity","NAME"))</f>
        <v>Onward Holdings Co Ltd</v>
      </c>
      <c r="B20" s="12">
        <v>8016</v>
      </c>
    </row>
    <row r="21" spans="1:2">
      <c r="A21" t="str">
        <f>PROPER(_xll.BDP(B21&amp;" JT Equity","NAME"))</f>
        <v>Edion Corp</v>
      </c>
      <c r="B21" s="17">
        <v>2730</v>
      </c>
    </row>
    <row r="22" spans="1:2">
      <c r="A22" t="str">
        <f>PROPER(_xll.BDP(B22&amp;" JT Equity","NAME"))</f>
        <v>Bic Camera Inc</v>
      </c>
      <c r="B22" s="17">
        <v>3048</v>
      </c>
    </row>
    <row r="23" spans="1:2">
      <c r="A23" t="str">
        <f>PROPER(_xll.BDP(B23&amp;" JT Equity","NAME"))</f>
        <v>Kojima Co Ltd</v>
      </c>
      <c r="B23" s="17">
        <v>7513</v>
      </c>
    </row>
    <row r="24" spans="1:2">
      <c r="A24" t="str">
        <f>PROPER(_xll.BDP(B24&amp;" JT Equity","NAME"))</f>
        <v>K'S Holdings Corp</v>
      </c>
      <c r="B24" s="17">
        <v>8282</v>
      </c>
    </row>
    <row r="25" spans="1:2">
      <c r="A25" t="str">
        <f>PROPER(_xll.BDP(B25&amp;" JT Equity","NAME"))</f>
        <v>Nitori Holdings Co Ltd</v>
      </c>
      <c r="B25" s="12">
        <v>9843</v>
      </c>
    </row>
    <row r="26" spans="1:2">
      <c r="A26" t="str">
        <f>PROPER(_xll.BDP(B26&amp;" JT Equity","NAME"))</f>
        <v>Nafco Co Ltd</v>
      </c>
      <c r="B26" s="17">
        <v>2790</v>
      </c>
    </row>
    <row r="27" spans="1:2">
      <c r="A27" t="str">
        <f>PROPER(_xll.BDP(B27&amp;" JT Equity","NAME"))</f>
        <v>Dcm Holdings Co Ltd</v>
      </c>
      <c r="B27" s="17">
        <v>3050</v>
      </c>
    </row>
    <row r="28" spans="1:2">
      <c r="A28" t="str">
        <f>PROPER(_xll.BDP(B28&amp;" JT Equity","NAME"))</f>
        <v>Joyful Honda Co Ltd</v>
      </c>
      <c r="B28" s="17">
        <v>3191</v>
      </c>
    </row>
    <row r="29" spans="1:2">
      <c r="A29" t="str">
        <f>PROPER(_xll.BDP(B29&amp;" JT Equity","NAME"))</f>
        <v>Lixil Viva Corp</v>
      </c>
      <c r="B29" s="17">
        <v>3564</v>
      </c>
    </row>
    <row r="30" spans="1:2">
      <c r="A30" t="str">
        <f>PROPER(_xll.BDP(B30&amp;" JT Equity","NAME"))</f>
        <v>Kohnan Shoji Co Ltd</v>
      </c>
      <c r="B30" s="17">
        <v>7516</v>
      </c>
    </row>
    <row r="31" spans="1:2">
      <c r="A31" t="str">
        <f>PROPER(_xll.BDP(B31&amp;" JT Equity","NAME"))</f>
        <v>Handsman Co Ltd</v>
      </c>
      <c r="B31" s="17">
        <v>7636</v>
      </c>
    </row>
    <row r="32" spans="1:2">
      <c r="A32" t="str">
        <f>PROPER(_xll.BDP(B32&amp;" JT Equity","NAME"))</f>
        <v>Keiyo Co Ltd</v>
      </c>
      <c r="B32" s="17">
        <v>8168</v>
      </c>
    </row>
    <row r="33" spans="1:2">
      <c r="A33" t="str">
        <f>PROPER(_xll.BDP(B33&amp;" JT Equity","NAME"))</f>
        <v>Komeri Co Ltd</v>
      </c>
      <c r="B33" s="17">
        <v>8218</v>
      </c>
    </row>
    <row r="34" spans="1:2">
      <c r="A34" t="str">
        <f>PROPER(_xll.BDP(B34&amp;" JT Equity","NAME"))</f>
        <v>Autobacs Seven Co Ltd</v>
      </c>
      <c r="B34" s="22">
        <v>9832</v>
      </c>
    </row>
    <row r="35" spans="1:2">
      <c r="A35" t="str">
        <f>PROPER(_xll.BDP(B35&amp;" JT Equity","NAME"))</f>
        <v>Cawachi Ltd</v>
      </c>
      <c r="B35" s="17">
        <v>2664</v>
      </c>
    </row>
    <row r="36" spans="1:2">
      <c r="A36" t="str">
        <f>PROPER(_xll.BDP(B36&amp;" JT Equity","NAME"))</f>
        <v>Qol Holdings Co Ltd</v>
      </c>
      <c r="B36" s="17">
        <v>3034</v>
      </c>
    </row>
    <row r="37" spans="1:2">
      <c r="A37" t="str">
        <f>PROPER(_xll.BDP(B37&amp;" JT Equity","NAME"))</f>
        <v>Matsukiyococokara &amp; Co</v>
      </c>
      <c r="B37" s="17">
        <v>3088</v>
      </c>
    </row>
    <row r="38" spans="1:2">
      <c r="A38" t="str">
        <f>PROPER(_xll.BDP(B38&amp;" JT Equity","NAME"))</f>
        <v>Welcia Holdings Co Ltd</v>
      </c>
      <c r="B38" s="17">
        <v>3141</v>
      </c>
    </row>
    <row r="39" spans="1:2">
      <c r="A39" t="str">
        <f>PROPER(_xll.BDP(B39&amp;" JT Equity","NAME"))</f>
        <v>Create Sd Holdings Co</v>
      </c>
      <c r="B39" s="17">
        <v>3148</v>
      </c>
    </row>
    <row r="40" spans="1:2">
      <c r="A40" t="str">
        <f>PROPER(_xll.BDP(B40&amp;" JT Equity","NAME"))</f>
        <v>Cosmos Pharmaceutical Corp</v>
      </c>
      <c r="B40" s="17">
        <v>3349</v>
      </c>
    </row>
    <row r="41" spans="1:2">
      <c r="A41" t="str">
        <f>PROPER(_xll.BDP(B41&amp;" JT Equity","NAME"))</f>
        <v>Tsuruha Holdings Inc</v>
      </c>
      <c r="B41" s="17">
        <v>3391</v>
      </c>
    </row>
    <row r="42" spans="1:2">
      <c r="A42" t="str">
        <f>PROPER(_xll.BDP(B42&amp;" JT Equity","NAME"))</f>
        <v>Kusuri No Aoki Holdings Co L</v>
      </c>
      <c r="B42" s="17">
        <v>3549</v>
      </c>
    </row>
    <row r="43" spans="1:2">
      <c r="A43" t="str">
        <f>PROPER(_xll.BDP(B43&amp;" JT Equity","NAME"))</f>
        <v>Sugi Holdings Co Ltd</v>
      </c>
      <c r="B43" s="17">
        <v>7649</v>
      </c>
    </row>
    <row r="44" spans="1:2">
      <c r="A44" t="str">
        <f>PROPER(_xll.BDP(B44&amp;" JT Equity","NAME"))</f>
        <v>Yakuodo Holdings Co Ltd</v>
      </c>
      <c r="B44" s="17">
        <v>7679</v>
      </c>
    </row>
    <row r="45" spans="1:2">
      <c r="A45" t="str">
        <f>PROPER(_xll.BDP(B45&amp;" JT Equity","NAME"))</f>
        <v>Genky Drugstores Co Ltd</v>
      </c>
      <c r="B45" s="17">
        <v>9267</v>
      </c>
    </row>
    <row r="46" spans="1:2">
      <c r="A46" t="str">
        <f>PROPER(_xll.BDP(B46&amp;" JT Equity","NAME"))</f>
        <v>Ain Holdings Inc</v>
      </c>
      <c r="B46" s="17">
        <v>9627</v>
      </c>
    </row>
    <row r="47" spans="1:2">
      <c r="A47" t="str">
        <f>PROPER(_xll.BDP(B47&amp;" JT Equity","NAME"))</f>
        <v>Sundrug Co Ltd</v>
      </c>
      <c r="B47" s="12">
        <v>9989</v>
      </c>
    </row>
    <row r="48" spans="1:2">
      <c r="A48" t="str">
        <f>PROPER(_xll.BDP(B48&amp;" JT Equity","NAME"))</f>
        <v>Intermestic Inc</v>
      </c>
      <c r="B48" s="17" t="s">
        <v>136</v>
      </c>
    </row>
    <row r="49" spans="1:2">
      <c r="A49" t="str">
        <f>PROPER(_xll.BDP(B49&amp;" JT Equity","NAME"))</f>
        <v>Jins Holdings Inc</v>
      </c>
      <c r="B49" s="17">
        <v>3046</v>
      </c>
    </row>
    <row r="50" spans="1:2">
      <c r="A50" t="str">
        <f>PROPER(_xll.BDP(B50&amp;" JT Equity","NAME"))</f>
        <v>Yondoshi Holdings Inc</v>
      </c>
      <c r="B50" s="12">
        <v>8008</v>
      </c>
    </row>
    <row r="51" spans="1:2">
      <c r="A51" t="str">
        <f>PROPER(_xll.BDP(B51&amp;" JT Equity","NAME"))</f>
        <v>Alpen Co Ltd</v>
      </c>
      <c r="B51" s="17">
        <v>3028</v>
      </c>
    </row>
    <row r="52" spans="1:2">
      <c r="A52" t="str">
        <f>PROPER(_xll.BDP(B52&amp;" JT Equity","NAME"))</f>
        <v>Himaraya Co Ltd</v>
      </c>
      <c r="B52" s="17">
        <v>7514</v>
      </c>
    </row>
    <row r="53" spans="1:2">
      <c r="A53" t="str">
        <f>PROPER(_xll.BDP(B53&amp;" JT Equity","NAME"))</f>
        <v>Xebio Holdings Co Ltd</v>
      </c>
      <c r="B53" s="17">
        <v>8281</v>
      </c>
    </row>
    <row r="54" spans="1:2">
      <c r="A54" t="str">
        <f>PROPER(_xll.BDP(B54&amp;" JT Equity","NAME"))</f>
        <v>Abc-Mart Inc</v>
      </c>
      <c r="B54" s="27">
        <v>2670</v>
      </c>
    </row>
    <row r="55" spans="1:2">
      <c r="A55" t="str">
        <f>PROPER(_xll.BDP(B55&amp;" JT Equity","NAME"))</f>
        <v>Gfoot Co Ltd</v>
      </c>
      <c r="B55" s="17">
        <v>2686</v>
      </c>
    </row>
    <row r="56" spans="1:2">
      <c r="A56" t="str">
        <f>PROPER(_xll.BDP(B56&amp;" JT Equity","NAME"))</f>
        <v>Chiyoda Co Ltd</v>
      </c>
      <c r="B56" s="12">
        <v>8185</v>
      </c>
    </row>
    <row r="57" spans="1:2">
      <c r="A57" t="str">
        <f>PROPER(_xll.BDP(B57&amp;" JT Equity","NAME"))</f>
        <v>Askul Corp</v>
      </c>
      <c r="B57" s="17">
        <v>2678</v>
      </c>
    </row>
    <row r="58" spans="1:2">
      <c r="A58" t="str">
        <f>PROPER(_xll.BDP(B58&amp;" JT Equity","NAME"))</f>
        <v>Seria Co Ltd</v>
      </c>
      <c r="B58" s="17">
        <v>2782</v>
      </c>
    </row>
    <row r="59" spans="1:2">
      <c r="A59" t="str">
        <f>PROPER(_xll.BDP(B59&amp;" JT Equity","NAME"))</f>
        <v>Monotaro Co Ltd</v>
      </c>
      <c r="B59" s="17">
        <v>3064</v>
      </c>
    </row>
    <row r="60" spans="1:2">
      <c r="A60" t="str">
        <f>PROPER(_xll.BDP(B60&amp;" JT Equity","NAME"))</f>
        <v>Asahi Co Ltd</v>
      </c>
      <c r="B60" s="17">
        <v>3333</v>
      </c>
    </row>
    <row r="61" spans="1:2">
      <c r="A61" t="str">
        <f>PROPER(_xll.BDP(B61&amp;" JT Equity","NAME"))</f>
        <v>Ryohin Keikaku Co Ltd</v>
      </c>
      <c r="B61" s="17">
        <v>7453</v>
      </c>
    </row>
    <row r="62" spans="1:2">
      <c r="A62" t="str">
        <f>PROPER(_xll.BDP(B62&amp;" JT Equity","NAME"))</f>
        <v>Workman Co Ltd</v>
      </c>
      <c r="B62" s="17">
        <v>7564</v>
      </c>
    </row>
    <row r="63" spans="1:2">
      <c r="A63" t="str">
        <f>PROPER(_xll.BDP(B63&amp;" JT Equity","NAME"))</f>
        <v>Sac'S Bar Holdings Inc</v>
      </c>
      <c r="B63" s="17">
        <v>9990</v>
      </c>
    </row>
    <row r="64" spans="1:2">
      <c r="A64" t="str">
        <f>PROPER(_xll.BDP(B64&amp;" JT Equity","NAME"))</f>
        <v>Belluna Co Ltd</v>
      </c>
      <c r="B64" s="12">
        <v>9997</v>
      </c>
    </row>
    <row r="65" spans="1:2">
      <c r="A65" t="str">
        <f>PROPER(_xll.BDP(B65&amp;" JT Equity","NAME"))</f>
        <v>Pal Group Holdings Co Ltd</v>
      </c>
      <c r="B65" s="11">
        <v>2726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月次公表日</vt:lpstr>
      <vt:lpstr>Sheet1</vt:lpstr>
    </vt:vector>
  </TitlesOfParts>
  <Company>大和証券株式会社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ユーザー</dc:creator>
  <cp:lastModifiedBy>Ivan Cheung</cp:lastModifiedBy>
  <dcterms:created xsi:type="dcterms:W3CDTF">2019-08-15T22:44:36Z</dcterms:created>
  <dcterms:modified xsi:type="dcterms:W3CDTF">2025-12-24T09:11:39Z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0c4b3f-cf02-4a55-80bc-ab08845ed18b_Enabled">
    <vt:lpwstr>true</vt:lpwstr>
  </property>
  <property fmtid="{D5CDD505-2E9C-101B-9397-08002B2CF9AE}" pid="3" name="MSIP_Label_830c4b3f-cf02-4a55-80bc-ab08845ed18b_SetDate">
    <vt:lpwstr>2025-10-06T08:56:17Z</vt:lpwstr>
  </property>
  <property fmtid="{D5CDD505-2E9C-101B-9397-08002B2CF9AE}" pid="4" name="MSIP_Label_830c4b3f-cf02-4a55-80bc-ab08845ed18b_Method">
    <vt:lpwstr>Standard</vt:lpwstr>
  </property>
  <property fmtid="{D5CDD505-2E9C-101B-9397-08002B2CF9AE}" pid="5" name="MSIP_Label_830c4b3f-cf02-4a55-80bc-ab08845ed18b_Name">
    <vt:lpwstr>General</vt:lpwstr>
  </property>
  <property fmtid="{D5CDD505-2E9C-101B-9397-08002B2CF9AE}" pid="6" name="MSIP_Label_830c4b3f-cf02-4a55-80bc-ab08845ed18b_SiteId">
    <vt:lpwstr>0d87a354-ba96-4207-8053-0c28a1c1eb47</vt:lpwstr>
  </property>
  <property fmtid="{D5CDD505-2E9C-101B-9397-08002B2CF9AE}" pid="7" name="MSIP_Label_830c4b3f-cf02-4a55-80bc-ab08845ed18b_ActionId">
    <vt:lpwstr>6e1f3c6b-ca00-4645-82df-1d0be1f2a64e</vt:lpwstr>
  </property>
  <property fmtid="{D5CDD505-2E9C-101B-9397-08002B2CF9AE}" pid="8" name="MSIP_Label_830c4b3f-cf02-4a55-80bc-ab08845ed18b_ContentBits">
    <vt:lpwstr>0</vt:lpwstr>
  </property>
  <property fmtid="{D5CDD505-2E9C-101B-9397-08002B2CF9AE}" pid="9" name="MSIP_Label_830c4b3f-cf02-4a55-80bc-ab08845ed18b_Tag">
    <vt:lpwstr>10, 3, 0, 1</vt:lpwstr>
  </property>
</Properties>
</file>